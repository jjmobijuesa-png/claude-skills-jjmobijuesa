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artha\Escritorio\MARTHA\2026\Mobijuesa 2026\"/>
    </mc:Choice>
  </mc:AlternateContent>
  <xr:revisionPtr revIDLastSave="0" documentId="13_ncr:1_{B61C2433-9B4B-4A09-BFE4-830BC03849A2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PORTADA" sheetId="1" state="hidden" r:id="rId1"/>
    <sheet name="INSTRUCTIVO CPA" sheetId="2" state="hidden" r:id="rId2"/>
    <sheet name="PARAMETROS" sheetId="3" state="hidden" r:id="rId3"/>
    <sheet name="FLUJO SEMANAL" sheetId="4" state="hidden" r:id="rId4"/>
    <sheet name="Estadística" sheetId="6" state="hidden" r:id="rId5"/>
    <sheet name="RESUMEN Y ALERTA" sheetId="5" state="hidden" r:id="rId6"/>
    <sheet name="FLUJO SEMANAL (2)" sheetId="7" r:id="rId7"/>
    <sheet name="GANTT OBRAS" sheetId="9" r:id="rId8"/>
    <sheet name="Estadística (2)" sheetId="8" r:id="rId9"/>
  </sheets>
  <calcPr calcId="191029" iterate="1"/>
  <extLst>
    <ext uri="GoogleSheetsCustomDataVersion2">
      <go:sheetsCustomData xmlns:go="http://customooxmlschemas.google.com/" r:id="rId10" roundtripDataChecksum="V4A5NXyw5r6O5XB5wTtBBZQLrojxRGmMspMQSu523lY="/>
    </ext>
  </extLst>
</workbook>
</file>

<file path=xl/calcChain.xml><?xml version="1.0" encoding="utf-8"?>
<calcChain xmlns="http://schemas.openxmlformats.org/spreadsheetml/2006/main">
  <c r="F34" i="7" l="1"/>
  <c r="AJ39" i="7"/>
  <c r="AK39" i="7"/>
  <c r="AJ40" i="7"/>
  <c r="AK40" i="7"/>
  <c r="AJ41" i="7"/>
  <c r="AK41" i="7"/>
  <c r="B39" i="7"/>
  <c r="B31" i="7"/>
  <c r="I22" i="9"/>
  <c r="H22" i="9"/>
  <c r="G22" i="9"/>
  <c r="F22" i="9"/>
  <c r="M21" i="9"/>
  <c r="L21" i="9"/>
  <c r="K21" i="9"/>
  <c r="J21" i="9"/>
  <c r="I21" i="9"/>
  <c r="H21" i="9"/>
  <c r="G21" i="9"/>
  <c r="F21" i="9"/>
  <c r="D17" i="9"/>
  <c r="C15" i="9"/>
  <c r="D14" i="9"/>
  <c r="AJ9" i="7"/>
  <c r="B61" i="7"/>
  <c r="C61" i="7" s="1"/>
  <c r="B43" i="7"/>
  <c r="U10" i="7"/>
  <c r="J22" i="9" s="1"/>
  <c r="AJ52" i="7"/>
  <c r="AK52" i="7" s="1"/>
  <c r="AJ50" i="7"/>
  <c r="AK50" i="7" s="1"/>
  <c r="AG59" i="7"/>
  <c r="AH59" i="7" s="1"/>
  <c r="AI59" i="7" s="1"/>
  <c r="AG60" i="7"/>
  <c r="AH60" i="7" s="1"/>
  <c r="AI60" i="7" s="1"/>
  <c r="T57" i="7"/>
  <c r="U57" i="7" s="1"/>
  <c r="G56" i="7"/>
  <c r="E56" i="7"/>
  <c r="B62" i="7"/>
  <c r="C62" i="7" s="1"/>
  <c r="E54" i="7"/>
  <c r="AJ54" i="7" s="1"/>
  <c r="I55" i="7"/>
  <c r="AJ55" i="7" s="1"/>
  <c r="B27" i="7"/>
  <c r="AJ45" i="7"/>
  <c r="AK45" i="7" s="1"/>
  <c r="E14" i="7"/>
  <c r="AJ24" i="7"/>
  <c r="AK24" i="7" s="1"/>
  <c r="AJ25" i="7"/>
  <c r="AK25" i="7" s="1"/>
  <c r="AJ26" i="7"/>
  <c r="AK26" i="7" s="1"/>
  <c r="AJ27" i="7"/>
  <c r="AJ28" i="7"/>
  <c r="AK28" i="7" s="1"/>
  <c r="AJ29" i="7"/>
  <c r="AK29" i="7" s="1"/>
  <c r="AJ30" i="7"/>
  <c r="AK30" i="7" s="1"/>
  <c r="AJ31" i="7"/>
  <c r="AK31" i="7" s="1"/>
  <c r="AJ32" i="7"/>
  <c r="AK32" i="7" s="1"/>
  <c r="AJ38" i="7"/>
  <c r="AK38" i="7" s="1"/>
  <c r="AJ34" i="7"/>
  <c r="AK34" i="7" s="1"/>
  <c r="AJ42" i="7"/>
  <c r="AK42" i="7" s="1"/>
  <c r="AJ43" i="7"/>
  <c r="AJ44" i="7"/>
  <c r="AK44" i="7" s="1"/>
  <c r="AJ49" i="7"/>
  <c r="AK49" i="7" s="1"/>
  <c r="AJ51" i="7"/>
  <c r="AK51" i="7" s="1"/>
  <c r="AJ35" i="7"/>
  <c r="C46" i="7" l="1"/>
  <c r="E14" i="9"/>
  <c r="F14" i="9" s="1"/>
  <c r="D10" i="9"/>
  <c r="B46" i="7"/>
  <c r="D7" i="9" s="1"/>
  <c r="AK43" i="7"/>
  <c r="T56" i="7"/>
  <c r="U56" i="7" s="1"/>
  <c r="AJ57" i="7"/>
  <c r="AK57" i="7" s="1"/>
  <c r="AJ60" i="7"/>
  <c r="AK27" i="7"/>
  <c r="B55" i="7"/>
  <c r="AK55" i="7" s="1"/>
  <c r="B54" i="7"/>
  <c r="C58" i="7" s="1"/>
  <c r="G33" i="7"/>
  <c r="AJ33" i="7" s="1"/>
  <c r="AK33" i="7" s="1"/>
  <c r="E10" i="9" l="1"/>
  <c r="H10" i="9" s="1"/>
  <c r="E7" i="9"/>
  <c r="F7" i="9" s="1"/>
  <c r="AK54" i="7"/>
  <c r="B58" i="7"/>
  <c r="D9" i="9" s="1"/>
  <c r="AJ56" i="7"/>
  <c r="AK56" i="7" s="1"/>
  <c r="AJ23" i="7"/>
  <c r="AK23" i="7" s="1"/>
  <c r="E9" i="9" l="1"/>
  <c r="F9" i="9" s="1"/>
  <c r="Z10" i="7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C3" i="8"/>
  <c r="AJ8" i="7"/>
  <c r="L6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I76" i="7"/>
  <c r="AI77" i="7" s="1"/>
  <c r="AH21" i="7"/>
  <c r="AG21" i="7"/>
  <c r="AF21" i="7"/>
  <c r="AD21" i="7"/>
  <c r="AC21" i="7"/>
  <c r="AB21" i="7"/>
  <c r="AI13" i="7"/>
  <c r="AI21" i="7" s="1"/>
  <c r="AE13" i="7"/>
  <c r="AE21" i="7" s="1"/>
  <c r="AI11" i="7"/>
  <c r="AD4" i="8" s="1"/>
  <c r="AH11" i="7"/>
  <c r="AC4" i="8" s="1"/>
  <c r="AF11" i="7"/>
  <c r="AA4" i="8" s="1"/>
  <c r="AE11" i="7"/>
  <c r="Z4" i="8" s="1"/>
  <c r="AC11" i="7"/>
  <c r="X4" i="8" s="1"/>
  <c r="AB11" i="7"/>
  <c r="W4" i="8" s="1"/>
  <c r="Z21" i="7"/>
  <c r="Y21" i="7"/>
  <c r="X21" i="7"/>
  <c r="V21" i="7"/>
  <c r="U21" i="7"/>
  <c r="T21" i="7"/>
  <c r="AA13" i="7"/>
  <c r="AA21" i="7" s="1"/>
  <c r="W13" i="7"/>
  <c r="W21" i="7" s="1"/>
  <c r="AA11" i="7"/>
  <c r="V4" i="8" s="1"/>
  <c r="Y11" i="7"/>
  <c r="T4" i="8" s="1"/>
  <c r="X11" i="7"/>
  <c r="S4" i="8" s="1"/>
  <c r="W11" i="7"/>
  <c r="R4" i="8" s="1"/>
  <c r="V11" i="7"/>
  <c r="Q4" i="8" s="1"/>
  <c r="T11" i="7"/>
  <c r="O4" i="8" s="1"/>
  <c r="B6" i="8"/>
  <c r="B5" i="8"/>
  <c r="B4" i="8"/>
  <c r="B3" i="8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J66" i="7"/>
  <c r="D66" i="7"/>
  <c r="B35" i="7"/>
  <c r="AK60" i="7"/>
  <c r="B48" i="7"/>
  <c r="B47" i="7"/>
  <c r="C53" i="7" s="1"/>
  <c r="K37" i="7"/>
  <c r="H37" i="7"/>
  <c r="R21" i="7"/>
  <c r="Q21" i="7"/>
  <c r="P21" i="7"/>
  <c r="N21" i="7"/>
  <c r="M21" i="7"/>
  <c r="L21" i="7"/>
  <c r="J21" i="7"/>
  <c r="I21" i="7"/>
  <c r="H21" i="7"/>
  <c r="F21" i="7"/>
  <c r="E21" i="7"/>
  <c r="D21" i="7"/>
  <c r="S13" i="7"/>
  <c r="S21" i="7" s="1"/>
  <c r="O13" i="7"/>
  <c r="O21" i="7" s="1"/>
  <c r="K13" i="7"/>
  <c r="K21" i="7" s="1"/>
  <c r="G13" i="7"/>
  <c r="G21" i="7" s="1"/>
  <c r="S11" i="7"/>
  <c r="N4" i="8" s="1"/>
  <c r="R11" i="7"/>
  <c r="M4" i="8" s="1"/>
  <c r="Q11" i="7"/>
  <c r="L4" i="8" s="1"/>
  <c r="P11" i="7"/>
  <c r="K4" i="8" s="1"/>
  <c r="O11" i="7"/>
  <c r="J4" i="8" s="1"/>
  <c r="N11" i="7"/>
  <c r="I4" i="8" s="1"/>
  <c r="M11" i="7"/>
  <c r="H4" i="8" s="1"/>
  <c r="L11" i="7"/>
  <c r="G4" i="8" s="1"/>
  <c r="K11" i="7"/>
  <c r="F4" i="8" s="1"/>
  <c r="J11" i="7"/>
  <c r="E4" i="8" s="1"/>
  <c r="I11" i="7"/>
  <c r="D4" i="8" s="1"/>
  <c r="H11" i="7"/>
  <c r="C4" i="8" s="1"/>
  <c r="G11" i="7"/>
  <c r="F11" i="7"/>
  <c r="E11" i="7"/>
  <c r="D11" i="7"/>
  <c r="D6" i="7"/>
  <c r="B36" i="7" l="1"/>
  <c r="D6" i="9" s="1"/>
  <c r="E6" i="9" s="1"/>
  <c r="F6" i="9" s="1"/>
  <c r="C36" i="7"/>
  <c r="AD10" i="7"/>
  <c r="K22" i="9"/>
  <c r="B53" i="7"/>
  <c r="D8" i="9" s="1"/>
  <c r="AK35" i="7"/>
  <c r="AJ37" i="7"/>
  <c r="AK37" i="7" s="1"/>
  <c r="M62" i="7"/>
  <c r="N62" i="7" s="1"/>
  <c r="P62" i="7" s="1"/>
  <c r="G48" i="7"/>
  <c r="H48" i="7" s="1"/>
  <c r="I48" i="7" s="1"/>
  <c r="U11" i="7"/>
  <c r="P4" i="8" s="1"/>
  <c r="J68" i="7"/>
  <c r="E5" i="8" s="1"/>
  <c r="K66" i="7"/>
  <c r="K68" i="7" s="1"/>
  <c r="F5" i="8" s="1"/>
  <c r="E66" i="7"/>
  <c r="E68" i="7" s="1"/>
  <c r="D68" i="7"/>
  <c r="D67" i="4"/>
  <c r="B6" i="6"/>
  <c r="B5" i="6"/>
  <c r="B4" i="6"/>
  <c r="D3" i="6"/>
  <c r="E3" i="6"/>
  <c r="F3" i="6"/>
  <c r="G3" i="6"/>
  <c r="H3" i="6"/>
  <c r="I3" i="6"/>
  <c r="J3" i="6"/>
  <c r="K3" i="6"/>
  <c r="L3" i="6"/>
  <c r="C3" i="6"/>
  <c r="B3" i="6"/>
  <c r="M51" i="4"/>
  <c r="T31" i="4"/>
  <c r="U31" i="4" s="1"/>
  <c r="E30" i="4"/>
  <c r="E32" i="4"/>
  <c r="F32" i="4" s="1"/>
  <c r="B22" i="5"/>
  <c r="B5" i="5"/>
  <c r="S62" i="4"/>
  <c r="P57" i="4"/>
  <c r="K57" i="4"/>
  <c r="J57" i="4"/>
  <c r="I57" i="4"/>
  <c r="D57" i="4"/>
  <c r="L51" i="4"/>
  <c r="J51" i="4"/>
  <c r="D51" i="4"/>
  <c r="T50" i="4"/>
  <c r="U50" i="4" s="1"/>
  <c r="T49" i="4"/>
  <c r="B49" i="4"/>
  <c r="T35" i="4"/>
  <c r="U35" i="4" s="1"/>
  <c r="T33" i="4"/>
  <c r="U33" i="4" s="1"/>
  <c r="T41" i="4"/>
  <c r="U41" i="4" s="1"/>
  <c r="T39" i="4"/>
  <c r="U39" i="4" s="1"/>
  <c r="B37" i="4"/>
  <c r="F37" i="4" s="1"/>
  <c r="G37" i="4" s="1"/>
  <c r="H37" i="4" s="1"/>
  <c r="I37" i="4" s="1"/>
  <c r="T47" i="4"/>
  <c r="U47" i="4" s="1"/>
  <c r="T46" i="4"/>
  <c r="U46" i="4" s="1"/>
  <c r="T45" i="4"/>
  <c r="U45" i="4" s="1"/>
  <c r="T44" i="4"/>
  <c r="U44" i="4" s="1"/>
  <c r="T40" i="4"/>
  <c r="U40" i="4" s="1"/>
  <c r="T43" i="4"/>
  <c r="B43" i="4"/>
  <c r="T42" i="4"/>
  <c r="B42" i="4"/>
  <c r="T34" i="4"/>
  <c r="U34" i="4" s="1"/>
  <c r="K38" i="4"/>
  <c r="H38" i="4"/>
  <c r="E38" i="4"/>
  <c r="K29" i="4"/>
  <c r="H29" i="4"/>
  <c r="E29" i="4"/>
  <c r="B36" i="4"/>
  <c r="F36" i="4" s="1"/>
  <c r="G36" i="4" s="1"/>
  <c r="T28" i="4"/>
  <c r="U28" i="4" s="1"/>
  <c r="T27" i="4"/>
  <c r="U27" i="4" s="1"/>
  <c r="T26" i="4"/>
  <c r="U26" i="4" s="1"/>
  <c r="T25" i="4"/>
  <c r="U25" i="4" s="1"/>
  <c r="T24" i="4"/>
  <c r="T23" i="4"/>
  <c r="U23" i="4" s="1"/>
  <c r="R21" i="4"/>
  <c r="Q21" i="4"/>
  <c r="P21" i="4"/>
  <c r="N21" i="4"/>
  <c r="M21" i="4"/>
  <c r="L21" i="4"/>
  <c r="J21" i="4"/>
  <c r="I21" i="4"/>
  <c r="H21" i="4"/>
  <c r="F21" i="4"/>
  <c r="E21" i="4"/>
  <c r="D21" i="4"/>
  <c r="S13" i="4"/>
  <c r="S21" i="4" s="1"/>
  <c r="O13" i="4"/>
  <c r="O21" i="4" s="1"/>
  <c r="K13" i="4"/>
  <c r="K21" i="4" s="1"/>
  <c r="G13" i="4"/>
  <c r="G21" i="4" s="1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D6" i="4"/>
  <c r="C4" i="6" s="1"/>
  <c r="B39" i="3"/>
  <c r="B28" i="3"/>
  <c r="H57" i="4" s="1"/>
  <c r="B25" i="3"/>
  <c r="B8" i="5" s="1"/>
  <c r="C24" i="3"/>
  <c r="C23" i="3"/>
  <c r="C22" i="3"/>
  <c r="C21" i="3"/>
  <c r="C20" i="3"/>
  <c r="C25" i="3" s="1"/>
  <c r="B12" i="5" s="1"/>
  <c r="C19" i="3"/>
  <c r="H15" i="3"/>
  <c r="G15" i="3"/>
  <c r="F15" i="3"/>
  <c r="E15" i="3"/>
  <c r="C15" i="3"/>
  <c r="B11" i="5" s="1"/>
  <c r="B8" i="3"/>
  <c r="AG10" i="7" l="1"/>
  <c r="M22" i="9" s="1"/>
  <c r="L22" i="9"/>
  <c r="E8" i="9"/>
  <c r="F8" i="9" s="1"/>
  <c r="B63" i="7"/>
  <c r="B65" i="7"/>
  <c r="B64" i="7"/>
  <c r="D11" i="9" s="1"/>
  <c r="O62" i="7"/>
  <c r="R62" i="7" s="1"/>
  <c r="AJ48" i="7"/>
  <c r="AK48" i="7" s="1"/>
  <c r="Z11" i="7"/>
  <c r="U4" i="8" s="1"/>
  <c r="G47" i="7"/>
  <c r="H47" i="7" s="1"/>
  <c r="I47" i="7" s="1"/>
  <c r="I66" i="7" s="1"/>
  <c r="I68" i="7" s="1"/>
  <c r="Q62" i="7"/>
  <c r="J69" i="7"/>
  <c r="D69" i="7"/>
  <c r="D70" i="7" s="1"/>
  <c r="K69" i="7"/>
  <c r="E69" i="7"/>
  <c r="F66" i="7"/>
  <c r="F68" i="7" s="1"/>
  <c r="O51" i="4"/>
  <c r="O53" i="4" s="1"/>
  <c r="O54" i="4" s="1"/>
  <c r="M53" i="4"/>
  <c r="L5" i="6" s="1"/>
  <c r="F30" i="4"/>
  <c r="G30" i="4" s="1"/>
  <c r="G51" i="4" s="1"/>
  <c r="G53" i="4" s="1"/>
  <c r="J53" i="4"/>
  <c r="H36" i="4"/>
  <c r="I36" i="4" s="1"/>
  <c r="T36" i="4" s="1"/>
  <c r="U36" i="4" s="1"/>
  <c r="T32" i="4"/>
  <c r="U32" i="4" s="1"/>
  <c r="F51" i="4"/>
  <c r="F53" i="4" s="1"/>
  <c r="T37" i="4"/>
  <c r="U37" i="4" s="1"/>
  <c r="K51" i="4"/>
  <c r="K53" i="4" s="1"/>
  <c r="L53" i="4"/>
  <c r="U42" i="4"/>
  <c r="D53" i="4"/>
  <c r="U43" i="4"/>
  <c r="B51" i="4"/>
  <c r="T29" i="4"/>
  <c r="U29" i="4" s="1"/>
  <c r="T38" i="4"/>
  <c r="U38" i="4" s="1"/>
  <c r="U49" i="4"/>
  <c r="B7" i="5"/>
  <c r="B13" i="5"/>
  <c r="B15" i="5" s="1"/>
  <c r="L57" i="4"/>
  <c r="B6" i="5"/>
  <c r="E51" i="4"/>
  <c r="E53" i="4" s="1"/>
  <c r="M57" i="4"/>
  <c r="U24" i="4"/>
  <c r="N57" i="4"/>
  <c r="O57" i="4"/>
  <c r="E57" i="4"/>
  <c r="Q57" i="4"/>
  <c r="F57" i="4"/>
  <c r="R57" i="4"/>
  <c r="G57" i="4"/>
  <c r="S57" i="4"/>
  <c r="F19" i="9" l="1"/>
  <c r="E11" i="9"/>
  <c r="H11" i="9" s="1"/>
  <c r="C65" i="7"/>
  <c r="D12" i="9"/>
  <c r="C63" i="7"/>
  <c r="D13" i="9"/>
  <c r="L64" i="7"/>
  <c r="M64" i="7" s="1"/>
  <c r="N64" i="7" s="1"/>
  <c r="P64" i="7" s="1"/>
  <c r="Q64" i="7" s="1"/>
  <c r="R64" i="7" s="1"/>
  <c r="S64" i="7" s="1"/>
  <c r="S66" i="7" s="1"/>
  <c r="S68" i="7" s="1"/>
  <c r="N5" i="8" s="1"/>
  <c r="C64" i="7"/>
  <c r="X65" i="7"/>
  <c r="Y65" i="7" s="1"/>
  <c r="Z65" i="7" s="1"/>
  <c r="AA65" i="7" s="1"/>
  <c r="AB65" i="7" s="1"/>
  <c r="AC65" i="7" s="1"/>
  <c r="AJ62" i="7"/>
  <c r="AK62" i="7" s="1"/>
  <c r="Y63" i="7"/>
  <c r="H66" i="7"/>
  <c r="AJ47" i="7"/>
  <c r="AK47" i="7" s="1"/>
  <c r="I69" i="7"/>
  <c r="D5" i="8"/>
  <c r="G66" i="7"/>
  <c r="G68" i="7" s="1"/>
  <c r="G69" i="7" s="1"/>
  <c r="AD11" i="7"/>
  <c r="Y4" i="8" s="1"/>
  <c r="AG11" i="7"/>
  <c r="AB4" i="8" s="1"/>
  <c r="D74" i="7"/>
  <c r="D73" i="7"/>
  <c r="E6" i="7"/>
  <c r="F69" i="7"/>
  <c r="M54" i="4"/>
  <c r="K54" i="4"/>
  <c r="J5" i="6"/>
  <c r="J54" i="4"/>
  <c r="I5" i="6"/>
  <c r="D54" i="4"/>
  <c r="D55" i="4" s="1"/>
  <c r="C6" i="6" s="1"/>
  <c r="C5" i="6"/>
  <c r="G54" i="4"/>
  <c r="F5" i="6"/>
  <c r="F54" i="4"/>
  <c r="E5" i="6"/>
  <c r="T30" i="4"/>
  <c r="U30" i="4" s="1"/>
  <c r="E54" i="4"/>
  <c r="D5" i="6"/>
  <c r="L54" i="4"/>
  <c r="K5" i="6"/>
  <c r="N51" i="4"/>
  <c r="N53" i="4" s="1"/>
  <c r="N54" i="4" s="1"/>
  <c r="P51" i="4"/>
  <c r="P53" i="4" s="1"/>
  <c r="P54" i="4" s="1"/>
  <c r="I51" i="4"/>
  <c r="I53" i="4" s="1"/>
  <c r="H51" i="4"/>
  <c r="H53" i="4" s="1"/>
  <c r="D58" i="4"/>
  <c r="E6" i="4"/>
  <c r="D4" i="6" s="1"/>
  <c r="D59" i="4"/>
  <c r="H68" i="7" l="1"/>
  <c r="C5" i="8" s="1"/>
  <c r="G19" i="9"/>
  <c r="E12" i="9"/>
  <c r="K12" i="9" s="1"/>
  <c r="E13" i="9"/>
  <c r="K13" i="9" s="1"/>
  <c r="D15" i="9"/>
  <c r="E15" i="9" s="1"/>
  <c r="M66" i="7"/>
  <c r="M68" i="7" s="1"/>
  <c r="M69" i="7" s="1"/>
  <c r="O64" i="7"/>
  <c r="X64" i="7" s="1"/>
  <c r="N66" i="7"/>
  <c r="N68" i="7" s="1"/>
  <c r="I5" i="8" s="1"/>
  <c r="L66" i="7"/>
  <c r="X66" i="7"/>
  <c r="O66" i="7"/>
  <c r="O68" i="7" s="1"/>
  <c r="J5" i="8" s="1"/>
  <c r="S69" i="7"/>
  <c r="H69" i="7"/>
  <c r="Z63" i="7"/>
  <c r="Y66" i="7"/>
  <c r="Y68" i="7" s="1"/>
  <c r="T64" i="7"/>
  <c r="R66" i="7"/>
  <c r="R68" i="7" s="1"/>
  <c r="AJ11" i="7"/>
  <c r="AJ10" i="7"/>
  <c r="AD65" i="7"/>
  <c r="Q66" i="7"/>
  <c r="Q68" i="7" s="1"/>
  <c r="L5" i="8" s="1"/>
  <c r="P66" i="7"/>
  <c r="E70" i="7"/>
  <c r="H54" i="4"/>
  <c r="G5" i="6"/>
  <c r="I54" i="4"/>
  <c r="H5" i="6"/>
  <c r="E55" i="4"/>
  <c r="D6" i="6" s="1"/>
  <c r="Q51" i="4"/>
  <c r="Q53" i="4" s="1"/>
  <c r="Q54" i="4" s="1"/>
  <c r="H5" i="8" l="1"/>
  <c r="L68" i="7"/>
  <c r="G5" i="8" s="1"/>
  <c r="H19" i="9"/>
  <c r="P68" i="7"/>
  <c r="K5" i="8" s="1"/>
  <c r="I19" i="9"/>
  <c r="X68" i="7"/>
  <c r="S5" i="8" s="1"/>
  <c r="L69" i="7"/>
  <c r="N69" i="7"/>
  <c r="O69" i="7"/>
  <c r="T66" i="7"/>
  <c r="U64" i="7"/>
  <c r="M5" i="8"/>
  <c r="R69" i="7"/>
  <c r="T5" i="8"/>
  <c r="Y69" i="7"/>
  <c r="AA63" i="7"/>
  <c r="Z66" i="7"/>
  <c r="Z68" i="7" s="1"/>
  <c r="AJ59" i="7"/>
  <c r="AK59" i="7" s="1"/>
  <c r="P69" i="7"/>
  <c r="Q69" i="7"/>
  <c r="AE65" i="7"/>
  <c r="E74" i="7"/>
  <c r="F6" i="7"/>
  <c r="F70" i="7" s="1"/>
  <c r="F20" i="9" s="1"/>
  <c r="E73" i="7"/>
  <c r="D76" i="7"/>
  <c r="D77" i="7" s="1"/>
  <c r="E59" i="4"/>
  <c r="E58" i="4"/>
  <c r="F6" i="4"/>
  <c r="E4" i="6" s="1"/>
  <c r="D61" i="4"/>
  <c r="D62" i="4" s="1"/>
  <c r="R51" i="4"/>
  <c r="R53" i="4" s="1"/>
  <c r="R54" i="4" s="1"/>
  <c r="T68" i="7" l="1"/>
  <c r="O5" i="8" s="1"/>
  <c r="AB63" i="7"/>
  <c r="AA66" i="7"/>
  <c r="U66" i="7"/>
  <c r="U68" i="7" s="1"/>
  <c r="V64" i="7"/>
  <c r="U5" i="8"/>
  <c r="Z69" i="7"/>
  <c r="T69" i="7"/>
  <c r="AF65" i="7"/>
  <c r="F73" i="7"/>
  <c r="E76" i="7"/>
  <c r="E77" i="7" s="1"/>
  <c r="F74" i="7"/>
  <c r="G6" i="7"/>
  <c r="B18" i="5"/>
  <c r="F55" i="4"/>
  <c r="E6" i="6" s="1"/>
  <c r="S51" i="4"/>
  <c r="S53" i="4" s="1"/>
  <c r="S54" i="4" s="1"/>
  <c r="T48" i="4"/>
  <c r="AA68" i="7" l="1"/>
  <c r="K19" i="9"/>
  <c r="V66" i="7"/>
  <c r="V68" i="7" s="1"/>
  <c r="W64" i="7"/>
  <c r="P5" i="8"/>
  <c r="U69" i="7"/>
  <c r="V5" i="8"/>
  <c r="AA69" i="7"/>
  <c r="AC63" i="7"/>
  <c r="AB66" i="7"/>
  <c r="AG65" i="7"/>
  <c r="X69" i="7"/>
  <c r="G70" i="7"/>
  <c r="E61" i="4"/>
  <c r="E62" i="4" s="1"/>
  <c r="G6" i="4"/>
  <c r="G55" i="4" s="1"/>
  <c r="F6" i="6" s="1"/>
  <c r="F59" i="4"/>
  <c r="F58" i="4"/>
  <c r="U48" i="4"/>
  <c r="U51" i="4" s="1"/>
  <c r="T51" i="4"/>
  <c r="AB68" i="7" l="1"/>
  <c r="AD63" i="7"/>
  <c r="AC66" i="7"/>
  <c r="AC68" i="7" s="1"/>
  <c r="W5" i="8"/>
  <c r="AB69" i="7"/>
  <c r="AJ64" i="7"/>
  <c r="AK64" i="7" s="1"/>
  <c r="W66" i="7"/>
  <c r="W68" i="7" s="1"/>
  <c r="Q5" i="8"/>
  <c r="V69" i="7"/>
  <c r="AH65" i="7"/>
  <c r="AG66" i="7"/>
  <c r="AG68" i="7" s="1"/>
  <c r="AB5" i="8" s="1"/>
  <c r="G73" i="7"/>
  <c r="F76" i="7"/>
  <c r="F77" i="7" s="1"/>
  <c r="G74" i="7"/>
  <c r="H6" i="7"/>
  <c r="G59" i="4"/>
  <c r="F4" i="6"/>
  <c r="G58" i="4"/>
  <c r="F61" i="4"/>
  <c r="F62" i="4" s="1"/>
  <c r="H6" i="4"/>
  <c r="J19" i="9" l="1"/>
  <c r="R5" i="8"/>
  <c r="W69" i="7"/>
  <c r="X5" i="8"/>
  <c r="AC69" i="7"/>
  <c r="AE63" i="7"/>
  <c r="AD66" i="7"/>
  <c r="AD68" i="7" s="1"/>
  <c r="AG69" i="7"/>
  <c r="AH66" i="7"/>
  <c r="AH68" i="7" s="1"/>
  <c r="AC5" i="8" s="1"/>
  <c r="AI65" i="7"/>
  <c r="AJ65" i="7" s="1"/>
  <c r="AK65" i="7" s="1"/>
  <c r="H70" i="7"/>
  <c r="C6" i="8" s="1"/>
  <c r="H55" i="4"/>
  <c r="G4" i="6"/>
  <c r="Y5" i="8" l="1"/>
  <c r="AD69" i="7"/>
  <c r="AF63" i="7"/>
  <c r="AF66" i="7" s="1"/>
  <c r="AE66" i="7"/>
  <c r="AE68" i="7" s="1"/>
  <c r="AI66" i="7"/>
  <c r="AI68" i="7" s="1"/>
  <c r="AH69" i="7"/>
  <c r="G76" i="7"/>
  <c r="G77" i="7" s="1"/>
  <c r="I6" i="7"/>
  <c r="H74" i="7"/>
  <c r="H73" i="7"/>
  <c r="G6" i="6"/>
  <c r="H58" i="4"/>
  <c r="I6" i="4"/>
  <c r="G61" i="4"/>
  <c r="G62" i="4" s="1"/>
  <c r="H59" i="4"/>
  <c r="AF68" i="7" l="1"/>
  <c r="M19" i="9"/>
  <c r="L19" i="9"/>
  <c r="AJ63" i="7"/>
  <c r="AK63" i="7" s="1"/>
  <c r="AK66" i="7" s="1"/>
  <c r="E16" i="9" s="1"/>
  <c r="Z5" i="8"/>
  <c r="AE69" i="7"/>
  <c r="AA5" i="8"/>
  <c r="AF69" i="7"/>
  <c r="AI69" i="7"/>
  <c r="AD5" i="8"/>
  <c r="I70" i="7"/>
  <c r="D6" i="8" s="1"/>
  <c r="I55" i="4"/>
  <c r="H4" i="6"/>
  <c r="AJ66" i="7" l="1"/>
  <c r="D16" i="9" s="1"/>
  <c r="H76" i="7"/>
  <c r="H77" i="7" s="1"/>
  <c r="I74" i="7"/>
  <c r="J6" i="7"/>
  <c r="I73" i="7"/>
  <c r="H6" i="6"/>
  <c r="H61" i="4"/>
  <c r="H62" i="4" s="1"/>
  <c r="I58" i="4"/>
  <c r="I59" i="4"/>
  <c r="J6" i="4"/>
  <c r="J70" i="7" l="1"/>
  <c r="J55" i="4"/>
  <c r="I4" i="6"/>
  <c r="E6" i="8" l="1"/>
  <c r="G20" i="9"/>
  <c r="I76" i="7"/>
  <c r="I77" i="7" s="1"/>
  <c r="K6" i="7"/>
  <c r="J73" i="7"/>
  <c r="J74" i="7"/>
  <c r="I6" i="6"/>
  <c r="J58" i="4"/>
  <c r="I61" i="4"/>
  <c r="I62" i="4" s="1"/>
  <c r="J59" i="4"/>
  <c r="K6" i="4"/>
  <c r="K70" i="7" l="1"/>
  <c r="F6" i="8" s="1"/>
  <c r="K55" i="4"/>
  <c r="J4" i="6"/>
  <c r="J76" i="7" l="1"/>
  <c r="J77" i="7" s="1"/>
  <c r="L6" i="7"/>
  <c r="K74" i="7"/>
  <c r="K73" i="7"/>
  <c r="J6" i="6"/>
  <c r="K58" i="4"/>
  <c r="L6" i="4"/>
  <c r="J61" i="4"/>
  <c r="J62" i="4" s="1"/>
  <c r="K59" i="4"/>
  <c r="L70" i="7" l="1"/>
  <c r="G6" i="8" s="1"/>
  <c r="L55" i="4"/>
  <c r="K4" i="6"/>
  <c r="K76" i="7" l="1"/>
  <c r="K77" i="7" s="1"/>
  <c r="L74" i="7"/>
  <c r="M6" i="7"/>
  <c r="L73" i="7"/>
  <c r="K6" i="6"/>
  <c r="L59" i="4"/>
  <c r="M6" i="4"/>
  <c r="K61" i="4"/>
  <c r="K62" i="4" s="1"/>
  <c r="L58" i="4"/>
  <c r="M70" i="7" l="1"/>
  <c r="H6" i="8" s="1"/>
  <c r="M55" i="4"/>
  <c r="L4" i="6"/>
  <c r="M74" i="7" l="1"/>
  <c r="N6" i="7"/>
  <c r="N70" i="7" s="1"/>
  <c r="I6" i="8" s="1"/>
  <c r="M73" i="7"/>
  <c r="L76" i="7"/>
  <c r="L77" i="7" s="1"/>
  <c r="M58" i="4"/>
  <c r="L61" i="4"/>
  <c r="M59" i="4"/>
  <c r="L6" i="6"/>
  <c r="N6" i="4"/>
  <c r="N55" i="4" s="1"/>
  <c r="N74" i="7" l="1"/>
  <c r="O6" i="7"/>
  <c r="O70" i="7" s="1"/>
  <c r="N73" i="7"/>
  <c r="M76" i="7"/>
  <c r="M77" i="7" s="1"/>
  <c r="N58" i="4"/>
  <c r="O6" i="4"/>
  <c r="O55" i="4" s="1"/>
  <c r="M61" i="4"/>
  <c r="M62" i="4" s="1"/>
  <c r="N59" i="4"/>
  <c r="L62" i="4"/>
  <c r="J6" i="8" l="1"/>
  <c r="H20" i="9"/>
  <c r="O74" i="7"/>
  <c r="P6" i="7"/>
  <c r="P70" i="7" s="1"/>
  <c r="K6" i="8" s="1"/>
  <c r="O73" i="7"/>
  <c r="N76" i="7"/>
  <c r="N77" i="7" s="1"/>
  <c r="O58" i="4"/>
  <c r="P6" i="4"/>
  <c r="P55" i="4" s="1"/>
  <c r="N61" i="4"/>
  <c r="O59" i="4"/>
  <c r="P74" i="7" l="1"/>
  <c r="Q6" i="7"/>
  <c r="Q70" i="7" s="1"/>
  <c r="L6" i="8" s="1"/>
  <c r="P73" i="7"/>
  <c r="O76" i="7"/>
  <c r="O77" i="7" s="1"/>
  <c r="N62" i="4"/>
  <c r="P58" i="4"/>
  <c r="Q6" i="4"/>
  <c r="Q55" i="4" s="1"/>
  <c r="O61" i="4"/>
  <c r="O62" i="4" s="1"/>
  <c r="P59" i="4"/>
  <c r="P76" i="7" l="1"/>
  <c r="P77" i="7" s="1"/>
  <c r="Q74" i="7"/>
  <c r="R6" i="7"/>
  <c r="R70" i="7" s="1"/>
  <c r="M6" i="8" s="1"/>
  <c r="Q73" i="7"/>
  <c r="P61" i="4"/>
  <c r="P62" i="4" s="1"/>
  <c r="Q59" i="4"/>
  <c r="Q58" i="4"/>
  <c r="R6" i="4"/>
  <c r="R55" i="4" s="1"/>
  <c r="R73" i="7" l="1"/>
  <c r="S6" i="7"/>
  <c r="Q76" i="7"/>
  <c r="Q77" i="7" s="1"/>
  <c r="R74" i="7"/>
  <c r="S6" i="4"/>
  <c r="S55" i="4" s="1"/>
  <c r="Q61" i="4"/>
  <c r="R59" i="4"/>
  <c r="R58" i="4"/>
  <c r="S70" i="7" l="1"/>
  <c r="Q62" i="4"/>
  <c r="B21" i="5"/>
  <c r="R61" i="4"/>
  <c r="R62" i="4" s="1"/>
  <c r="S59" i="4"/>
  <c r="S58" i="4"/>
  <c r="N6" i="8" l="1"/>
  <c r="I20" i="9"/>
  <c r="B19" i="5"/>
  <c r="R76" i="7"/>
  <c r="R77" i="7" s="1"/>
  <c r="S74" i="7"/>
  <c r="S73" i="7"/>
  <c r="T6" i="7"/>
  <c r="T70" i="7" s="1"/>
  <c r="O6" i="8" s="1"/>
  <c r="T74" i="7" l="1"/>
  <c r="S76" i="7"/>
  <c r="S77" i="7" s="1"/>
  <c r="T73" i="7"/>
  <c r="U6" i="7"/>
  <c r="U70" i="7" s="1"/>
  <c r="P6" i="8" s="1"/>
  <c r="U74" i="7" l="1"/>
  <c r="T76" i="7"/>
  <c r="T77" i="7" s="1"/>
  <c r="U73" i="7"/>
  <c r="V6" i="7"/>
  <c r="V70" i="7" s="1"/>
  <c r="Q6" i="8" s="1"/>
  <c r="V74" i="7" l="1"/>
  <c r="U76" i="7"/>
  <c r="U77" i="7" s="1"/>
  <c r="V73" i="7"/>
  <c r="W6" i="7"/>
  <c r="W70" i="7" s="1"/>
  <c r="R6" i="8" l="1"/>
  <c r="J20" i="9"/>
  <c r="W73" i="7"/>
  <c r="W74" i="7"/>
  <c r="V76" i="7"/>
  <c r="V77" i="7" s="1"/>
  <c r="X6" i="7"/>
  <c r="X70" i="7" s="1"/>
  <c r="S6" i="8" s="1"/>
  <c r="X73" i="7" l="1"/>
  <c r="X74" i="7"/>
  <c r="W76" i="7"/>
  <c r="W77" i="7" s="1"/>
  <c r="Y6" i="7"/>
  <c r="Y70" i="7" s="1"/>
  <c r="T6" i="8" s="1"/>
  <c r="Y73" i="7" l="1"/>
  <c r="Y74" i="7"/>
  <c r="X76" i="7"/>
  <c r="X77" i="7" s="1"/>
  <c r="Z6" i="7"/>
  <c r="Z70" i="7" s="1"/>
  <c r="U6" i="8" s="1"/>
  <c r="Y76" i="7" l="1"/>
  <c r="Y77" i="7" s="1"/>
  <c r="Z73" i="7"/>
  <c r="Z74" i="7"/>
  <c r="AA6" i="7"/>
  <c r="AA70" i="7" s="1"/>
  <c r="V6" i="8" l="1"/>
  <c r="K20" i="9"/>
  <c r="AB6" i="7"/>
  <c r="AB70" i="7" s="1"/>
  <c r="AA74" i="7"/>
  <c r="Z76" i="7"/>
  <c r="Z77" i="7" s="1"/>
  <c r="AA73" i="7"/>
  <c r="AC6" i="7" l="1"/>
  <c r="AC70" i="7" s="1"/>
  <c r="X6" i="8" s="1"/>
  <c r="W6" i="8"/>
  <c r="AB74" i="7"/>
  <c r="AB73" i="7"/>
  <c r="AA76" i="7"/>
  <c r="AA77" i="7" s="1"/>
  <c r="AB76" i="7" l="1"/>
  <c r="AB77" i="7" s="1"/>
  <c r="AC73" i="7"/>
  <c r="AC74" i="7"/>
  <c r="AD6" i="7"/>
  <c r="AD70" i="7" s="1"/>
  <c r="AE6" i="7" s="1"/>
  <c r="AE70" i="7" s="1"/>
  <c r="Z6" i="8" l="1"/>
  <c r="L20" i="9"/>
  <c r="AC76" i="7"/>
  <c r="AC77" i="7" s="1"/>
  <c r="Y6" i="8"/>
  <c r="AD74" i="7"/>
  <c r="AD73" i="7"/>
  <c r="AD76" i="7"/>
  <c r="AD77" i="7" s="1"/>
  <c r="AE73" i="7"/>
  <c r="AF6" i="7"/>
  <c r="AF70" i="7" s="1"/>
  <c r="AA6" i="8" s="1"/>
  <c r="AE74" i="7"/>
  <c r="AF74" i="7" l="1"/>
  <c r="AG6" i="7"/>
  <c r="AG70" i="7" s="1"/>
  <c r="AB6" i="8" s="1"/>
  <c r="AF73" i="7"/>
  <c r="AE76" i="7"/>
  <c r="AE77" i="7" s="1"/>
  <c r="AF76" i="7" l="1"/>
  <c r="AF77" i="7" s="1"/>
  <c r="AG74" i="7"/>
  <c r="AG73" i="7"/>
  <c r="AH6" i="7"/>
  <c r="AH70" i="7" s="1"/>
  <c r="AC6" i="8" s="1"/>
  <c r="AH74" i="7" l="1"/>
  <c r="AI6" i="7"/>
  <c r="AI70" i="7" s="1"/>
  <c r="AG76" i="7"/>
  <c r="AG77" i="7" s="1"/>
  <c r="AH73" i="7"/>
  <c r="AI74" i="7" l="1"/>
  <c r="M20" i="9"/>
  <c r="AH76" i="7"/>
  <c r="AH77" i="7" s="1"/>
  <c r="AI73" i="7"/>
  <c r="AD6" i="8"/>
  <c r="B66" i="7"/>
  <c r="C66" i="7" s="1"/>
</calcChain>
</file>

<file path=xl/sharedStrings.xml><?xml version="1.0" encoding="utf-8"?>
<sst xmlns="http://schemas.openxmlformats.org/spreadsheetml/2006/main" count="480" uniqueCount="379">
  <si>
    <t>INSTRUCTIVO PARA QUIEN ALIMENTA ESTE ARCHIVO (CPA / CONTABILIDAD)</t>
  </si>
  <si>
    <t>MOBIJUESA S.A. — FLUJO DE CAJA SEMANAL VIVO</t>
  </si>
  <si>
    <t>FLUJO DE CAJA SEMANAL — SEM 37 A SEM 52 DE 2026</t>
  </si>
  <si>
    <t>PARÁMETROS — única hoja donde se edita. Todo el resto del archivo calcula desde aquí.</t>
  </si>
  <si>
    <t>1. QUÉ ACTUALIZAR CADA DÍA</t>
  </si>
  <si>
    <t>Proyección semanal SEM 37 a SEM 52 de 2026 (07-sep al 27-dic) — control, gestión y solicitud de fondeo</t>
  </si>
  <si>
    <t>Fórmulas vivas: edite PARAMETROS para cambiar supuestos, o escriba un valor real directo en una celda de semana para reemplazar el estimado.</t>
  </si>
  <si>
    <t>Editar solo las celdas de la columna B (o C donde se indique). Las fórmulas del resto del archivo ya apuntan aquí.</t>
  </si>
  <si>
    <t>• Revise el movimiento bancario del día en el Banco Pichincha (única cuenta operada).</t>
  </si>
  <si>
    <t>1. FECHA Y SEMANA DE CORTE</t>
  </si>
  <si>
    <t>• Si hubo un COBRO de cliente, súmelo a 'Ingreso operativo estimado' de la semana en curso en la</t>
  </si>
  <si>
    <t>CONCEPTO</t>
  </si>
  <si>
    <t xml:space="preserve">  hoja FLUJO SEMANAL — reemplace la fórmula por el valor real acumulado de la semana cuando la</t>
  </si>
  <si>
    <t xml:space="preserve">  semana cierre (viernes), o llévelo como acumulado si prefiere verlo día a día.</t>
  </si>
  <si>
    <t>Corte de datos: 07-sep-2026. Reemplaza en alcance (no en archivo) a 'FLUJO DE CAJA MOBIJUESA - ACTUALIZADO AL 14-AGO-2026.xlsx' — ese archivo queda como historial.</t>
  </si>
  <si>
    <t>• Si hubo un PAGO, identifique primero si es un rubro de OBRA (bodegas, materiales, mano de obra,</t>
  </si>
  <si>
    <t xml:space="preserve">  adoquinado) o un gasto FIJO (nómina, cuota de crédito, energía, alícuota, impuesto, retiro de</t>
  </si>
  <si>
    <t>LA CAJA HOY</t>
  </si>
  <si>
    <t>TOTAL / META</t>
  </si>
  <si>
    <t xml:space="preserve">  socio). Regístrelo en la fila correspondiente de la semana correcta en FLUJO SEMANAL.</t>
  </si>
  <si>
    <t>SEM 37</t>
  </si>
  <si>
    <t>• Un pago de obra que se sabe de antemano (por ejemplo, un anticipo pactado a 3 semanas) puede</t>
  </si>
  <si>
    <t>SEM 38</t>
  </si>
  <si>
    <t xml:space="preserve">  escribirse HOY mismo en la semana futura que corresponda — así el saldo proyectado ya lo incluye</t>
  </si>
  <si>
    <t>SEM 39</t>
  </si>
  <si>
    <t>Saldo real de caja — Banco Pichincha, 04-sep-2026 (único banco operado)</t>
  </si>
  <si>
    <t xml:space="preserve">  antes de que se pague, que es justamente el objetivo de este archivo.</t>
  </si>
  <si>
    <t>SEM 40</t>
  </si>
  <si>
    <t>2. QUÉ REVISAR CADA SEMANA (viernes o lunes)</t>
  </si>
  <si>
    <t>SEM 41</t>
  </si>
  <si>
    <t>Fecha de hoy / corte de datos</t>
  </si>
  <si>
    <t>• Compare el saldo final REAL del banco contra el saldo final PROYECTADO de esa semana en la hoja</t>
  </si>
  <si>
    <t>SEM 42</t>
  </si>
  <si>
    <t>SEM 43</t>
  </si>
  <si>
    <t xml:space="preserve">  FLUJO SEMANAL. Si difieren en más de $500, revise qué movimiento no se registró.</t>
  </si>
  <si>
    <t>SEM 44</t>
  </si>
  <si>
    <t>• Revise la fila 'ESTADO DE LA SEMANA': 🟢 OK, 🟠 ALERTA (por debajo de la caja mínima) o 🔴</t>
  </si>
  <si>
    <t>SEM 45</t>
  </si>
  <si>
    <t>SEM 46</t>
  </si>
  <si>
    <t xml:space="preserve">  NEGATIVO (saldo proyectado negativo).</t>
  </si>
  <si>
    <t>SEM 47</t>
  </si>
  <si>
    <t>Ingreso operativo semanal estimado (promedio real 6 meses, ene-jun 2026)</t>
  </si>
  <si>
    <t>• Revise la fila '➤ ACCIÓN: SOLICITAR A AGROAÉREO ESTA SEMANA'. Si dice 'Pedir $X', ese es el</t>
  </si>
  <si>
    <t>SEM 48</t>
  </si>
  <si>
    <t>SEM 49</t>
  </si>
  <si>
    <t>Egresos fijos semanales identificados por categoría (ver PARAMETROS)</t>
  </si>
  <si>
    <t xml:space="preserve">  momento de escribir o llamar a Agroaéreo — el fondo tarda 7 días como mínimo en llegar, así que</t>
  </si>
  <si>
    <t>SEM 50</t>
  </si>
  <si>
    <t>Semana ISO de arranque de la proyección</t>
  </si>
  <si>
    <t>SEM 51</t>
  </si>
  <si>
    <t>Generación operativa NETA semanal (antes de obra)</t>
  </si>
  <si>
    <t xml:space="preserve">  la alerta ya está calculada mirando la semana SIGUIENTE, no la actual. Si se espera a que la</t>
  </si>
  <si>
    <t>SEM 52</t>
  </si>
  <si>
    <t xml:space="preserve">  semana actual esté en rojo, ya es tarde.</t>
  </si>
  <si>
    <t>Caja mínima de seguridad (1,5× gasto fijo mensual, recalculada por categoría)</t>
  </si>
  <si>
    <t>TOTAL
PROGR.</t>
  </si>
  <si>
    <t>Plazo mínimo real de gestión de fondos con Agroaéreo (días)</t>
  </si>
  <si>
    <t>• Reparta en la matriz de OBRA los pagos de la próxima semana entre los rubros pendientes, respetando</t>
  </si>
  <si>
    <t>DIFEREN-
CIA</t>
  </si>
  <si>
    <t>Colchón sobre el mínimo, HOY</t>
  </si>
  <si>
    <t xml:space="preserve">  la columna 'DIFERENCIA' de cada rubro: debe tender a cero a medida que se programa todo el rubro.</t>
  </si>
  <si>
    <t>Semana del … al … (calendario)</t>
  </si>
  <si>
    <t>Semanas de anticipación para disparar la alerta (redondeo del plazo)</t>
  </si>
  <si>
    <t>• Si aparece un rubro de obra nuevo (por ejemplo, un frente de trabajo que no estaba en la lista),</t>
  </si>
  <si>
    <t xml:space="preserve">  use una de las filas en blanco marcadas '(nuevo rubro de obra…)' — escriba el nombre en la</t>
  </si>
  <si>
    <t xml:space="preserve">  columna A y el monto total pendiente en la columna B (TOTAL/META); desde ahí ya calcula solo.</t>
  </si>
  <si>
    <t>07-Sep / 13-Sep</t>
  </si>
  <si>
    <t>3. LEYENDA DE COLORES</t>
  </si>
  <si>
    <t>Ritmo histórico de gasto en obra (jul-ago 2026)</t>
  </si>
  <si>
    <t>14-Sep / 20-Sep</t>
  </si>
  <si>
    <t>🟢 Verde — saldo proyectado por encima de la caja mínima de seguridad.</t>
  </si>
  <si>
    <t>21-Sep / 27-Sep</t>
  </si>
  <si>
    <t>28-Sep / 04-Oct</t>
  </si>
  <si>
    <t>HALLAZGO PRINCIPAL DE ESTA ACTUALIZACIÓN</t>
  </si>
  <si>
    <t>05-Oct / 11-Oct</t>
  </si>
  <si>
    <t>12-Oct / 18-Oct</t>
  </si>
  <si>
    <t>19-Oct / 25-Oct</t>
  </si>
  <si>
    <t>26-Oct / 01-Nov</t>
  </si>
  <si>
    <t>02-Nov / 08-Nov</t>
  </si>
  <si>
    <t>09-Nov / 15-Nov</t>
  </si>
  <si>
    <t>16-Nov / 22-Nov</t>
  </si>
  <si>
    <t>23-Nov / 29-Nov</t>
  </si>
  <si>
    <t>30-Nov / 06-Dec</t>
  </si>
  <si>
    <t>🟠 Amarillo/naranja — saldo positivo pero por debajo del mínimo: zona de tensión, no es una emergencia todavía.</t>
  </si>
  <si>
    <t>07-Dec / 13-Dec</t>
  </si>
  <si>
    <t>14-Dec / 20-Dec</t>
  </si>
  <si>
    <t>Al desagregar los egresos fijos en sus categorías reales (gasto operativo, mantenimiento de</t>
  </si>
  <si>
    <t>21-Dec / 27-Dec</t>
  </si>
  <si>
    <t>bodegas en operación, impuestos/prediales, servicio de deuda, estudios y retiros de socios</t>
  </si>
  <si>
    <t>🔴 Rojo — saldo proyectado negativo: ya se necesitaba el fondeo la semana anterior.</t>
  </si>
  <si>
    <t>normalizados) en vez de usar un solo promedio agregado, el gasto fijo mensual real es más alto</t>
  </si>
  <si>
    <t>SALDO INICIAL DE CAJA</t>
  </si>
  <si>
    <t>de lo que se venía usando: $16.590,36/mes en vez de $12.448,23/mes. La caja mínima de seguridad</t>
  </si>
  <si>
    <t>(1,5× ese gasto fijo) sube a $24.885,54 — y la caja real de hoy ($19.669,46) queda POR DEBAJO de</t>
  </si>
  <si>
    <t>Celda con fondo crema — casilla en blanco lista para que usted escriba un dato real (ingreso extra, nuevo rubro).</t>
  </si>
  <si>
    <t>ese mínimo: el colchón de seguridad está en NEGATIVO ($5.216,08), no 'casi agotado' como se leía</t>
  </si>
  <si>
    <t>en el corte del 06-sep (colchón positivo de $997,11 en ese momento, con el agregado anterior).</t>
  </si>
  <si>
    <t>4. DOCTRINA DE GESTIÓN DE FLUJO QUE SIGUE ESTE ARCHIVO</t>
  </si>
  <si>
    <t>Basado en la publicación de Juan Ramiro Tovar sobre gestión del flujo de caja (LinkedIn, guardada por el usuario) — seis frentes que este archivo cubre explícitamente:</t>
  </si>
  <si>
    <t>Esto NO cambia la conclusión de fondo — ya se sabía que la obra corre muy por encima de lo que la</t>
  </si>
  <si>
    <t>operación genera — pero la hace más urgente: hoy, con este criterio más completo, Mobijuesa ya</t>
  </si>
  <si>
    <t>1. Planificación del flujo de caja — proyección semanal hasta SEM 52 (esta hoja).</t>
  </si>
  <si>
    <t>está operando por debajo de su propio piso de seguridad. Ver hoja RESUMEN Y ALERTA.</t>
  </si>
  <si>
    <t>2. SALDO REAL DE CAJA</t>
  </si>
  <si>
    <t>2. Cuentas por cobrar — el ingreso operativo estimado depende de que los cobros de arriendo se</t>
  </si>
  <si>
    <t>CÓMO ESTÁ ORGANIZADO ESTE ARCHIVO</t>
  </si>
  <si>
    <t xml:space="preserve">   posteen a tiempo; no deje cobros sin registrar más de una semana.</t>
  </si>
  <si>
    <t>INSTRUCTIVO CPA — Qué actualizar a diario y a la semana, leyenda de colores, doctrina de gestión, normativa SRI/municipal a tener en cuenta.</t>
  </si>
  <si>
    <t>3. Control de gastos — separación de egresos fijos por categoría y de obra por rubro.</t>
  </si>
  <si>
    <t>4. Cuentas por pagar — negocie plazo con proveedores de obra (ejemplo: material de adoquinado a</t>
  </si>
  <si>
    <t>PARAMETROS — Único lugar donde se editan los supuestos base (ingreso, egresos fijos por categoría, caja mínima, rubros de obra). Todo lo demás se alimenta de aquí con fórmulas.</t>
  </si>
  <si>
    <t xml:space="preserve">   30-60-90 días) antes de comprometer caja propia; reprograme el rubro en la matriz si lo logra.</t>
  </si>
  <si>
    <t>FLUJO SEMANAL — El tablero vivo: saldo, ingresos, egresos fijos, egresos de obra por rubro (repartibles en varias semanas), semáforo y alerta de fondeo a Agroaéreo.</t>
  </si>
  <si>
    <t>5. Optimización de capital de trabajo — la caja mínima de seguridad (1,5× gasto fijo mensual) y la</t>
  </si>
  <si>
    <t>Saldo real Banco Pichincha (único banco operado) a la fecha de corte</t>
  </si>
  <si>
    <t>RESUMEN Y ALERTA — Vista gerencial: posición de caja, cupo de inversión sostenible, y cuánto y cuándo pedir a Agroaéreo.</t>
  </si>
  <si>
    <t xml:space="preserve">   alerta de fondeo con 7 días de anticipación son el mecanismo de reserva y línea de respaldo.</t>
  </si>
  <si>
    <t>6. Monitoreo regular — revisión semanal obligatoria (punto 2 de este instructivo).</t>
  </si>
  <si>
    <t>Tres categorías de actividad de caja a tener en mente al clasificar un movimiento nuevo:</t>
  </si>
  <si>
    <t>• Operación: cobros de arriendo, nómina, impuestos, gasto administrativo.</t>
  </si>
  <si>
    <t>Fuente: detalle de cheques SEM36 aportado por el usuario, saldo confirmado al 04-sep-2026.</t>
  </si>
  <si>
    <t>• Financiamiento: aportes de Agroaéreo, cuotas de préstamos (Cooperativa La Nuestra).</t>
  </si>
  <si>
    <t>• Inversión: obra nueva (construcción de bodegas, adoquinado, 400 m² nuevos).</t>
  </si>
  <si>
    <t>3. INGRESO OPERATIVO — promedio real 6 meses completos (ene-jun 2026, Libro Bancos maestro)</t>
  </si>
  <si>
    <t>Idea clave del mismo post, y la más importante para todo el equipo, no solo para quien lleva este</t>
  </si>
  <si>
    <t>archivo: 'la crisis de caja no se origina solo en Finanzas — las decisiones de Ventas, Compras y</t>
  </si>
  <si>
    <t>Operaciones determinan juntas el resultado de liquidez.' Si Obra compromete un pago sin avisar,</t>
  </si>
  <si>
    <t>este archivo deja de servir por más actualizado que esté.</t>
  </si>
  <si>
    <t>Concepto</t>
  </si>
  <si>
    <t>5. CRITERIOS DE BANCABILIDAD APLICADOS (skill interna bancabilidad-matriz-cuatro-bloques)</t>
  </si>
  <si>
    <t>Mensual USD</t>
  </si>
  <si>
    <t>• Matriz de 4 bloques (Altimira): Liquidez, Apalancamiento, Cobertura y Estructura de deuda — un</t>
  </si>
  <si>
    <t>Semanal USD (÷4,345)</t>
  </si>
  <si>
    <t xml:space="preserve">  solo bloque roto (aquí, Cobertura: el ritmo de obra supera la generación operativa) reclasifica</t>
  </si>
  <si>
    <t>Nota</t>
  </si>
  <si>
    <t>sem 1</t>
  </si>
  <si>
    <t xml:space="preserve">  todo el perfil, aunque el negocio siga siendo rentable en el papel.</t>
  </si>
  <si>
    <t>sem 2</t>
  </si>
  <si>
    <t>• Regla de Zevallos: 'las ventas no pagan los préstamos' — aplicada aquí como 'las rentas de bodega</t>
  </si>
  <si>
    <t>sem 3</t>
  </si>
  <si>
    <t xml:space="preserve">  no pagan el ritmo de obra actual' si no hay financiamiento externo puntual.</t>
  </si>
  <si>
    <t>sem 4</t>
  </si>
  <si>
    <t>Ingreso por cobros de clientes (arriendo de bodegas)</t>
  </si>
  <si>
    <t>• Tablero de 8 indicadores (Cardona): revisar mensualmente, además de este semanal, los indicadores</t>
  </si>
  <si>
    <t xml:space="preserve">  de rentabilidad, cobertura y estructura del libro de bancabilidad general de la empresa.</t>
  </si>
  <si>
    <t>6. CONSIDERACIONES NORMATIVAS (Ecuador / SRI / municipal) — buenas prácticas de caja, no asesoría tributaria formal</t>
  </si>
  <si>
    <t>🚦 Esta sección orienta el CALENDARIO de caja; no reemplaza al contador o asesor tributario para la</t>
  </si>
  <si>
    <t xml:space="preserve">   determinación exacta de cada obligación de Mobijuesa S.A.</t>
  </si>
  <si>
    <t>INGRESOS</t>
  </si>
  <si>
    <t>• Retenciones en la fuente de IR (Formulario 103) y de IVA: se declaran y pagan mensualmente al SRI,</t>
  </si>
  <si>
    <t xml:space="preserve">  dentro del plazo que corresponde al noveno dígito del RUC — resérvelo como salida de caja fija,</t>
  </si>
  <si>
    <t xml:space="preserve">  no como sorpresa de fin de mes.</t>
  </si>
  <si>
    <t>• IVA (Formulario 104): declaración mensual para la generalidad de sociedades; verificar con el</t>
  </si>
  <si>
    <t xml:space="preserve">  contador si aplica algún régimen especial a Mobijuesa.</t>
  </si>
  <si>
    <t>• Anticipo de Impuesto a la Renta (sociedades): se paga en cuotas a mediados de año (julio y</t>
  </si>
  <si>
    <t xml:space="preserve">  septiembre, según el calendario vigente del SRI) — planifique estas fechas en la fila de</t>
  </si>
  <si>
    <t xml:space="preserve">  'Impuestos, prediales y gastos bancarios' con antelación, no cuando ya vence.</t>
  </si>
  <si>
    <t>• Impuesto Predial (COOTAD, GAD municipal): pago con descuento de enero a marzo, sin descuento</t>
  </si>
  <si>
    <t>Ingreso operativo estimado (clientes)</t>
  </si>
  <si>
    <t xml:space="preserve">  hasta junio, con recargo después — es la explicación real de por qué esta categoría fue alta en</t>
  </si>
  <si>
    <t>Reconciliado con hoja A_FLUJO_MENSUAL del archivo 14-ago (idéntico).</t>
  </si>
  <si>
    <t>ver PARAMETROS</t>
  </si>
  <si>
    <t xml:space="preserve">  el primer trimestre de 2026 en el histórico de este archivo.</t>
  </si>
  <si>
    <t>• Aportes al IESS (patronal y personal): se pagan hasta el día 15 del mes siguiente al que</t>
  </si>
  <si>
    <t xml:space="preserve">  corresponden — inclúyalos dentro de 'Gasto operativo y administrativo' si no están ya reflejados.</t>
  </si>
  <si>
    <t>• Comprobantes de venta y retención: consérvelos (físicos o electrónicos) por 7 años, plazo general</t>
  </si>
  <si>
    <t xml:space="preserve">  de la normativa tributaria ecuatoriana — relevante para sustentar cualquier anticipo o reembolso</t>
  </si>
  <si>
    <t xml:space="preserve">  que hoy se registra en el Libro Bancos como 'ANT#' y debe cerrarse después con factura.</t>
  </si>
  <si>
    <t>• Todo anticipo (ANT#) que quede abierto más de 30-60 días sin la factura de respaldo es un riesgo</t>
  </si>
  <si>
    <t>Aportes recibidos de Agroaéreo</t>
  </si>
  <si>
    <t xml:space="preserve">  de deducibilidad del gasto ante el SRI, además de un riesgo de control interno — revíselos junto</t>
  </si>
  <si>
    <t xml:space="preserve">  con este flujo, no por separado.</t>
  </si>
  <si>
    <t>7. QUÉ NO HACER</t>
  </si>
  <si>
    <t>• No borre las fórmulas de PARAMETROS para 'ajustar' un número — cambie el valor base ahí y deje</t>
  </si>
  <si>
    <t xml:space="preserve">  que el resto del archivo recalcule solo.</t>
  </si>
  <si>
    <t>• No mueva ni elimine columnas de semana; si el año cambia de fase, pida que se genere una versión</t>
  </si>
  <si>
    <t xml:space="preserve">  nueva del archivo con el mismo formato.</t>
  </si>
  <si>
    <t>• No dependa solo del semáforo: si el saldo real diario ya se ve ajustado, avise aunque la semana</t>
  </si>
  <si>
    <t xml:space="preserve">  todavía marque verde — el semáforo es semanal, la caja se mueve a diario.</t>
  </si>
  <si>
    <t>Otros ingresos (ventas, reembolsos, etc.)</t>
  </si>
  <si>
    <t>TOTAL INGRESOS</t>
  </si>
  <si>
    <t>4. EGRESOS FIJOS — por categoría, promedio real ene-jun 2026</t>
  </si>
  <si>
    <t>Categoría</t>
  </si>
  <si>
    <t>Gasto operativo y administrativo</t>
  </si>
  <si>
    <t>Estable mes a mes.</t>
  </si>
  <si>
    <t>Mantenimiento de bodegas en operación</t>
  </si>
  <si>
    <t>EGRESOS FIJOS (operativos, administrativos, legales)</t>
  </si>
  <si>
    <t>🚦 Alto ene-abr por reparaciones puntuales; may-jun bajó a ~194/sem. Recalibrar con 3 meses recientes si el patrón no se repite.</t>
  </si>
  <si>
    <t>Impuestos, prediales y gastos bancarios</t>
  </si>
  <si>
    <t>🚦 Estacional: alto ene-mar por predial con descuento (COOTAD); bajo en jul-ago.</t>
  </si>
  <si>
    <t>Servicio de deuda — Cooperativa La Nuestra</t>
  </si>
  <si>
    <t>Cuota fija mensual del préstamo a Francisco Duque, cargada a la empresa.</t>
  </si>
  <si>
    <t>Estudios, planos y levantamientos</t>
  </si>
  <si>
    <t>Irregular; sube cuando hay trámites de planificación.</t>
  </si>
  <si>
    <t>Retiros de socios / gasto societario y legal (normalizado)</t>
  </si>
  <si>
    <t>🚦 Excluye el retiro atípico de $20.146,55 de mayo — con ese mes el promedio sube a $4.647,35/mes. Ajustar si el retiro de mayo se repite.</t>
  </si>
  <si>
    <t>SUBTOTAL EGRESOS FIJOS</t>
  </si>
  <si>
    <t>5. CAJA MÍNIMA DE SEGURIDAD</t>
  </si>
  <si>
    <t>RESUMEN GERENCIAL Y ALERTA DE FONDEO — AL CORTE DE PARAMETROS</t>
  </si>
  <si>
    <t>Caja mínima de seguridad (1,5× egresos fijos mensuales — criterio C_CUPO_Y_ALERTA)</t>
  </si>
  <si>
    <t>Se recalcula solo cuando se actualiza PARAMETROS o FLUJO SEMANAL. Ver también la hoja INSTRUCTIVO CPA.</t>
  </si>
  <si>
    <t>1. POSICIÓN DE CAJA</t>
  </si>
  <si>
    <t>6. OBRA — RUBROS PENDIENTES (fuente: Presupuesto Bodegas 5-9-26.xlsx, corte 06-sep-2026)</t>
  </si>
  <si>
    <t>Saldo real de caja al corte</t>
  </si>
  <si>
    <t>Rubro</t>
  </si>
  <si>
    <t>Monto pendiente USD</t>
  </si>
  <si>
    <t>Pendiente Tapia (estructura)</t>
  </si>
  <si>
    <t>Pendiente Flores (piso, pozo séptico, emblocado)</t>
  </si>
  <si>
    <t>Pendiente Chinchi (eléctrico)</t>
  </si>
  <si>
    <t xml:space="preserve">Alicuotas </t>
  </si>
  <si>
    <t>Caja mínima de seguridad (1,5× gasto fijo mensual)</t>
  </si>
  <si>
    <t>Adoquinado — mano de obra</t>
  </si>
  <si>
    <t>Adoquinado — material</t>
  </si>
  <si>
    <t>Negociable a crédito de proveedor 30-60-90 en vez de contado.</t>
  </si>
  <si>
    <t>400 m² nuevos — cimentación y estructura (40%)</t>
  </si>
  <si>
    <t>Vivienda tipo 90m²/$84.000 referencial de otro frente; costo aquí es de bodega ~$153/m².</t>
  </si>
  <si>
    <t>Colchón disponible sobre el mínimo, HOY</t>
  </si>
  <si>
    <t>Consumo de Energia Electrica</t>
  </si>
  <si>
    <t>400 m² nuevos — obra civil y acabados (60%)</t>
  </si>
  <si>
    <t>TOTAL OBRA PENDIENTE</t>
  </si>
  <si>
    <t>Meses de gasto fijo que cubre la caja de hoy (objetivo &gt; 2 meses)</t>
  </si>
  <si>
    <t>7. RECONCILIACIÓN — por qué cambió el número frente al corte del 06-sep-2026</t>
  </si>
  <si>
    <t>El corte anterior (hoja 'LIQUIDEZ Y CUPO' de Presupuesto Bodegas 5-9-26.xlsx) usó un solo agregado</t>
  </si>
  <si>
    <t>2. GENERACIÓN OPERATIVA Y CUPO DE INVERSIÓN SOSTENIBLE</t>
  </si>
  <si>
    <t>de egreso fijo mensual ($12.448,23) sobre el Libro Bancos maestro. Este archivo lo desagrega en 6</t>
  </si>
  <si>
    <t>categorías reales tomadas de la hoja A_FLUJO_MENSUAL del archivo guía del 14-ago — un total mayor,</t>
  </si>
  <si>
    <t>Ingreso operativo semanal</t>
  </si>
  <si>
    <t>porque hace visibles 'mantenimiento de bodegas en operación' e 'impuestos/prediales', que antes</t>
  </si>
  <si>
    <t>quedaban diluidos dentro del agregado. La caja mínima de seguridad (fila 5 de esta hoja) sube de</t>
  </si>
  <si>
    <t>$18.672,35 (corte 06-sep) a la cifra que resulta de 1,5× el nuevo subtotal — y el colchón sobre ese</t>
  </si>
  <si>
    <t>EGRESOS DE OBRA / CONSTRUCCIÓN — valores sugeridos al ritmo de $10.000/sem; reprograme según pagos reales</t>
  </si>
  <si>
    <t>(–) Subtotal egresos fijos semanales (todas las categorías)</t>
  </si>
  <si>
    <t>mínimo, con la caja real de hoy, pasa a ser negativo. No es una noticia nueva: la obra sigue</t>
  </si>
  <si>
    <t>corriendo muy por encima de lo que el negocio genera — este ajuste solo lo mide con más precisión.</t>
  </si>
  <si>
    <t>GENERACIÓN OPERATIVA NETA SEMANAL (cupo sostenible sin financiamiento externo)</t>
  </si>
  <si>
    <t>Ritmo histórico de gasto en obra (jul-ago 2026, referencia)</t>
  </si>
  <si>
    <t>Veces que el ritmo de obra excede el cupo sostenible</t>
  </si>
  <si>
    <t>3. NECESIDAD DE FONDEO PROYECTADA — SEM 37 A SEM 52</t>
  </si>
  <si>
    <t>Acción inmediata — pedir esta semana (SEM 37) para cubrir SEM 38</t>
  </si>
  <si>
    <t>Punto de mayor déficit en todo el horizonte SI NO llega financiamiento (peor caso, no acumulativo)</t>
  </si>
  <si>
    <t>🚦 Cada déficit ya incluye el que le precede si no se resuelve — no sume las filas de esta sección, cada una es independiente sobre el escenario de no recibir fondeo.</t>
  </si>
  <si>
    <t>Número de semanas en que hace falta solicitar fondeo</t>
  </si>
  <si>
    <t>Total obra pendiente por programar (todos los rubros)</t>
  </si>
  <si>
    <t>4. QUÉ DICE ESTO</t>
  </si>
  <si>
    <t>El cupo de inversión sostenible (fila 2) es lo máximo que Mobijuesa puede poner en obra CADA</t>
  </si>
  <si>
    <t>SEMANA con caja propia, sin tocar el colchón de seguridad ni pedir financiamiento externo. Todo lo</t>
  </si>
  <si>
    <t>que la obra necesite por encima de ese número, semana a semana, es exactamente lo que la hoja</t>
  </si>
  <si>
    <t>FLUJO SEMANAL calcula en la fila 'ACCIÓN: SOLICITAR A AGROAÉREO ESTA SEMANA' — con una semana de</t>
  </si>
  <si>
    <t>anticipación mínima, porque el fondo tarda al menos 7 días en llegar.</t>
  </si>
  <si>
    <t>Lectura con la matriz de 4 bloques (Altimira): el bloque que se rompe es Cobertura, no Rentabilidad.</t>
  </si>
  <si>
    <t>El negocio sigue generando margen; lo que no alcanza es el RITMO al que la obra consume caja frente</t>
  </si>
  <si>
    <t>al ritmo al que la operación la repone. La solución no es vender más rápido — es que el financiamiento</t>
  </si>
  <si>
    <t>de Agroaéreo llegue ANTES de que la obra lo necesite, no después.</t>
  </si>
  <si>
    <t>Regla operativa para el equipo: revisar esta hoja cada lunes. Si la fila 3 (necesidad de fondeo)</t>
  </si>
  <si>
    <t>sube de una semana a otra sin que haya llegado un aporte de Agroaéreo, es señal de que el ritmo de</t>
  </si>
  <si>
    <t>obra se está acelerando por encima de lo planificado — frenar antes de comprometer más pagos.</t>
  </si>
  <si>
    <t xml:space="preserve">Materiales - Dipac </t>
  </si>
  <si>
    <t>Materiales Internegocios - Fact # 20542</t>
  </si>
  <si>
    <t>Materiales Internegocios - Fact # 20514</t>
  </si>
  <si>
    <t>Materiales Internegocios - Fact # 20485</t>
  </si>
  <si>
    <t>Transporte de Container</t>
  </si>
  <si>
    <t>10 Viajes de arena</t>
  </si>
  <si>
    <t>SUBTOTAL EGRESOS DE OBRA</t>
  </si>
  <si>
    <t>TOTAL EGRESOS (fijos + obra)</t>
  </si>
  <si>
    <t>FLUJO NETO DE LA SEMANA</t>
  </si>
  <si>
    <t>SALDO FINAL DE CAJA</t>
  </si>
  <si>
    <t>Caja mínima de seguridad (referencia)</t>
  </si>
  <si>
    <t>Colchón sobre el mínimo (saldo final − mínimo)</t>
  </si>
  <si>
    <t>ESTADO DE LA SEMANA</t>
  </si>
  <si>
    <t>DÉFICIT PROYECTADO — mirando 1 semana adelante (plazo Agroaéreo)</t>
  </si>
  <si>
    <t>—</t>
  </si>
  <si>
    <t>➤ ACCIÓN: SOLICITAR A AGROAÉREO ESTA SEMANA</t>
  </si>
  <si>
    <t>Estructura Metalica - Sra Ruth Mano de Obra - Bod.680m2 Compatty</t>
  </si>
  <si>
    <t>Estructura Metalica - Sra Ruth Materiales Obra - Bod.680m2 Compatty</t>
  </si>
  <si>
    <t>Proyección 8 Bod 150m2 (21 -28)</t>
  </si>
  <si>
    <t xml:space="preserve"> Tapia (Mano de Obra estructura) Bod. 16-17</t>
  </si>
  <si>
    <t xml:space="preserve"> Tapia (Mano de Obra 5 puertas corredizas)</t>
  </si>
  <si>
    <t xml:space="preserve"> Tapia (Mano de Obra pared metalica)</t>
  </si>
  <si>
    <t xml:space="preserve"> Flores (Mano de Obra cimentación) Bod. 16-17</t>
  </si>
  <si>
    <t xml:space="preserve"> Flores (Mano de Obra piso, emblocado)</t>
  </si>
  <si>
    <t xml:space="preserve"> Flores (Mano de Obra pozo septico)</t>
  </si>
  <si>
    <t xml:space="preserve"> Chinchi Mano de Obra y Materiales (eléctrico) Bod 150m</t>
  </si>
  <si>
    <t>(nuevo rubro de obra — escriba el nombre y el monto  en TOTAL/META)</t>
  </si>
  <si>
    <t xml:space="preserve"> Flores (Mano de obra Const. Compatty 680m2)</t>
  </si>
  <si>
    <t xml:space="preserve"> Flores (Materiales Const. Compatty 680m2)</t>
  </si>
  <si>
    <t xml:space="preserve"> Flores (Mano de obra Const. Bodega 150m2)</t>
  </si>
  <si>
    <t xml:space="preserve"> Flores (Materiales Const. Bodega 150m2)</t>
  </si>
  <si>
    <t xml:space="preserve"> Flores (Mano de obra Enblocado y Enlucido de Paso Vial)</t>
  </si>
  <si>
    <t>Tapia (Mano de obra Const. Bodega 150m2 - Metálica)</t>
  </si>
  <si>
    <t xml:space="preserve"> Tapia  (Materiales Const. Bodega 150m2  - Metálica)</t>
  </si>
  <si>
    <t xml:space="preserve"> Flores (MaterialesEnblocado y Enlucido de Paso Vial)</t>
  </si>
  <si>
    <t>Hormigon - Bodega 150m2</t>
  </si>
  <si>
    <t>SALDO INICIAL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</si>
  <si>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</si>
  <si>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</si>
  <si>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</si>
  <si>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</si>
  <si>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</si>
  <si>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</si>
  <si>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</si>
  <si>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</si>
  <si>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</si>
  <si>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</si>
  <si>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</si>
  <si>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</si>
  <si>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</si>
  <si>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</si>
  <si>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</si>
  <si>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</si>
  <si>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ene</t>
  </si>
  <si>
    <t>feb</t>
  </si>
  <si>
    <t>mar</t>
  </si>
  <si>
    <t>abr</t>
  </si>
  <si>
    <t>Remodelación 900m2</t>
  </si>
  <si>
    <t>Bodegas nuevas 432m2</t>
  </si>
  <si>
    <t>Readecuación 750m2</t>
  </si>
  <si>
    <t>Bodegas nuevas 600m2</t>
  </si>
  <si>
    <t>nov</t>
  </si>
  <si>
    <t>dic</t>
  </si>
  <si>
    <t>oct</t>
  </si>
  <si>
    <t xml:space="preserve">Ruth - Mano de Obra - Paso vial </t>
  </si>
  <si>
    <t xml:space="preserve">Ruth - Materiales - Paso vial </t>
  </si>
  <si>
    <t xml:space="preserve"> Tapia (Materiales pared metalica)</t>
  </si>
  <si>
    <t xml:space="preserve"> Tapia (Materiales estructura 1300mtrs) Bod. 16-17</t>
  </si>
  <si>
    <t xml:space="preserve"> Tapia (Mano de Obra estructura 1300mtrs) Bod. 16-17</t>
  </si>
  <si>
    <t xml:space="preserve"> Chinchi Mano de Obra y Materiales Bodegas 1300mtrs</t>
  </si>
  <si>
    <t xml:space="preserve"> Chinchi Mano de Obra y Materiales Bodegas 680 m2</t>
  </si>
  <si>
    <t>14 tubos redondos bpdega 680m2</t>
  </si>
  <si>
    <t>SUBTOTAL EGRESOS FIJOS    (costo unitario m2)</t>
  </si>
  <si>
    <t xml:space="preserve"> Tapia (Mano de Obra pared metalica) bod 1300m2</t>
  </si>
  <si>
    <t xml:space="preserve"> Flores (Mano de Obra cimentación) Bod. 16-17 bod 1300m2</t>
  </si>
  <si>
    <t xml:space="preserve"> Flores (Materiales cimentación) Bod. 16-17 bod 1300m2</t>
  </si>
  <si>
    <t xml:space="preserve"> Flores (Mano de Obra piso, emblocado) bod 1300m2</t>
  </si>
  <si>
    <t xml:space="preserve"> Flores (Mano de Obra pozo septico) bod 1300m2</t>
  </si>
  <si>
    <t xml:space="preserve"> Flores (Materiales pozo septico) bod 1300m2</t>
  </si>
  <si>
    <t>10 Viajes de arena bod 1300m2</t>
  </si>
  <si>
    <t xml:space="preserve"> Tapia (Mano de Obra y materiales 5 puertas corredizas) bod 1300m2</t>
  </si>
  <si>
    <t>Transporte de Container - 150m2</t>
  </si>
  <si>
    <t>Instalación Electrica Contenedores - bod 150m2</t>
  </si>
  <si>
    <t>SUBTOTAL EGRESOS DE OBRA DE BODEGA 1300M2</t>
  </si>
  <si>
    <t>SUBTOTAL EGRESOS DE OBRA DE BODEGA 150 M2</t>
  </si>
  <si>
    <t>SUBTOTAL EGRESOS DE OBRA DE BODEGA 680 M2</t>
  </si>
  <si>
    <t>SUBTOTAL EGRESOS DE OBRA DE PASO VIAL</t>
  </si>
  <si>
    <t>SUBTOTAL EGRESOS DE OBRA DE ADOQUINADO - 6000 M2</t>
  </si>
  <si>
    <t>FLUJO DE CAJA SEMANAL — SEM 37 A SEM 52 DE 2026 y 2027</t>
  </si>
  <si>
    <t xml:space="preserve"> Flores (Materiales piso, terminado) bod 1300m2</t>
  </si>
  <si>
    <t>DIAGRAMA DE GANTT — OBRAS DE BODEGAS MOBIJUESA · septiembre 2026 a abril 2027</t>
  </si>
  <si>
    <t>Cada barra va del mes de inicio al mes de fin de la obra según el calendario de pagos de FLUJO SEMANAL (2) (semanas 37 a 16). El texto dentro de la barra es vivo: m², costo total (columna B de los subtotales de obra) y costo por m² (columna C). Si cambia un costo en el flujo, la barra se actualiza; si cambia el calendario, mueva las columnas Inicio/Fin (amarillas).</t>
  </si>
  <si>
    <t>OBRA / BODEGA</t>
  </si>
  <si>
    <t>m²</t>
  </si>
  <si>
    <t>Costo total</t>
  </si>
  <si>
    <t>$/m²</t>
  </si>
  <si>
    <t>Inicio</t>
  </si>
  <si>
    <t>Fin</t>
  </si>
  <si>
    <t>dic-26</t>
  </si>
  <si>
    <t>ene-27</t>
  </si>
  <si>
    <t>abr-27</t>
  </si>
  <si>
    <t>Observación</t>
  </si>
  <si>
    <t>Nº de mes →</t>
  </si>
  <si>
    <t>Bodega 1.300 m² (Bod. 16-17: estructura Tapia, cimentación y piso Flores, pozo, 5 puertas)</t>
  </si>
  <si>
    <t>Ejecutado antes de SEM 37: $111.272 de $145.123; remanente sep-nov</t>
  </si>
  <si>
    <t>Bodega 150 m² (contenedores + estructura metálica)</t>
  </si>
  <si>
    <t>Bodega Compatty 680 m² (Flores + estructura Sra. Ruth)</t>
  </si>
  <si>
    <t>14 tubos ($6.500) aún sin programar</t>
  </si>
  <si>
    <t>Paso vial 200 m² (Ruth + enblocado/enlucido Flores)</t>
  </si>
  <si>
    <t>Remodelación 900 m² ($40/m²)</t>
  </si>
  <si>
    <t>Readecuación 750 m² (a $111,63/m² de la bodega 1.300)</t>
  </si>
  <si>
    <t>Bodegas nuevas 600 m²</t>
  </si>
  <si>
    <t>Bodegas nuevas 432 m²</t>
  </si>
  <si>
    <t>Adoquinado 6.000 m² ($20,11/m²)</t>
  </si>
  <si>
    <t>SIN PROGRAMAR en el horizonte: $120.657 fuera del flujo (columna DIFERENCIA)</t>
  </si>
  <si>
    <t>TOTAL OBRAS (con adoquinado)</t>
  </si>
  <si>
    <t>Programado en el flujo (SEM 37 a SEM 16) / Diferencia sin programar</t>
  </si>
  <si>
    <t>Ya ejecutado antes de la SEM 37 (columna SALDO INICIAL de las filas de obra)</t>
  </si>
  <si>
    <t>Egreso de obra programado por mes (suma de SUBTOTAL EGRESOS DE OBRA, fila 65 del flujo)</t>
  </si>
  <si>
    <t>Saldo final de caja al cierre de cada mes (fila 69 del flujo)</t>
  </si>
  <si>
    <t>Aportes de Agroaéreo programados en el mes (fila 9 del flujo)</t>
  </si>
  <si>
    <t>Ingreso operativo + otros ingresos del mes (filas 8 y 10 del flujo)</t>
  </si>
  <si>
    <t xml:space="preserve"> Flores (Materiales piso, terminado) bod 150m2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</si>
</sst>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dd\-mmm\-yyyy"/>
    <numFmt numFmtId="165" formatCode="[Blue]&quot;$&quot;#,##0;[Red]&quot;$&quot;\-#,##0"/>
    <numFmt numFmtId="166" formatCode="#.##0"/>
  </numFmts>
  <fonts count="49" x14ac:knownFonts="1">
    <font>
      <sz val="11"/>
      <color theme="1"/>
      <name val="Calibri"/>
      <scheme val="minor"/>
    </font>
    <font>
      <b/>
      <sz val="14"/>
      <color rgb="FF1F3864"/>
      <name val="Calibri"/>
      <family val="2"/>
    </font>
    <font>
      <b/>
      <sz val="16"/>
      <color rgb="FF1F3864"/>
      <name val="Calibri"/>
      <family val="2"/>
    </font>
    <font>
      <b/>
      <sz val="13"/>
      <color rgb="FF1F3864"/>
      <name val="Calibri"/>
      <family val="2"/>
    </font>
    <font>
      <b/>
      <sz val="12"/>
      <color theme="1"/>
      <name val="Calibri"/>
      <family val="2"/>
    </font>
    <font>
      <i/>
      <sz val="9"/>
      <color rgb="FF7F7F7F"/>
      <name val="Calibri"/>
      <family val="2"/>
    </font>
    <font>
      <b/>
      <i/>
      <sz val="9"/>
      <color rgb="FF7F7F7F"/>
      <name val="Calibri"/>
      <family val="2"/>
    </font>
    <font>
      <sz val="10"/>
      <color theme="1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rgb="FF1F3864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rgb="FFC00000"/>
      <name val="Calibri"/>
      <family val="2"/>
    </font>
    <font>
      <i/>
      <sz val="10"/>
      <color theme="1"/>
      <name val="Calibri"/>
      <family val="2"/>
    </font>
    <font>
      <sz val="9"/>
      <color theme="1"/>
      <name val="Calibri"/>
      <family val="2"/>
    </font>
    <font>
      <i/>
      <sz val="8"/>
      <color theme="1"/>
      <name val="Calibri"/>
      <family val="2"/>
    </font>
    <font>
      <b/>
      <sz val="11"/>
      <color rgb="FFFFFFFF"/>
      <name val="Calibri"/>
      <family val="2"/>
    </font>
    <font>
      <b/>
      <sz val="9"/>
      <color rgb="FF7F7F7F"/>
      <name val="Calibri"/>
      <family val="2"/>
    </font>
    <font>
      <b/>
      <sz val="9"/>
      <color theme="1"/>
      <name val="Calibri"/>
      <family val="2"/>
    </font>
    <font>
      <b/>
      <sz val="9"/>
      <color rgb="FFC00000"/>
      <name val="Calibri"/>
      <family val="2"/>
    </font>
    <font>
      <sz val="11"/>
      <color rgb="FF004E9A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0"/>
      <color rgb="FFFFFFFF"/>
      <name val="Calibri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FF0000"/>
      <name val="Calibri"/>
      <family val="2"/>
    </font>
    <font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name val="Calibri"/>
      <family val="2"/>
    </font>
    <font>
      <b/>
      <sz val="14"/>
      <color rgb="FF1F3864"/>
      <name val="Calibri"/>
      <family val="2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606060"/>
      <name val="Calibri"/>
      <family val="2"/>
      <scheme val="minor"/>
    </font>
    <font>
      <b/>
      <sz val="8"/>
      <color rgb="FF80808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63BE7B"/>
        <bgColor rgb="FF63BE7B"/>
      </patternFill>
    </fill>
    <fill>
      <patternFill patternType="solid">
        <fgColor rgb="FFFFEB84"/>
        <bgColor rgb="FFFFEB84"/>
      </patternFill>
    </fill>
    <fill>
      <patternFill patternType="solid">
        <fgColor rgb="FFF8696B"/>
        <bgColor rgb="FFF8696B"/>
      </patternFill>
    </fill>
    <fill>
      <patternFill patternType="solid">
        <fgColor rgb="FFFFF9E6"/>
        <bgColor rgb="FFFFF9E6"/>
      </patternFill>
    </fill>
    <fill>
      <patternFill patternType="solid">
        <fgColor rgb="FFF4B183"/>
        <bgColor rgb="FFF4B183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E6C29B"/>
        <bgColor indexed="64"/>
      </patternFill>
    </fill>
    <fill>
      <patternFill patternType="solid">
        <fgColor rgb="FFB4E0C6"/>
        <bgColor indexed="64"/>
      </patternFill>
    </fill>
    <fill>
      <patternFill patternType="solid">
        <fgColor rgb="FF99E6FF"/>
        <bgColor indexed="64"/>
      </patternFill>
    </fill>
    <fill>
      <patternFill patternType="solid">
        <fgColor rgb="FF83B1F4"/>
        <bgColor indexed="64"/>
      </patternFill>
    </fill>
    <fill>
      <patternFill patternType="solid">
        <fgColor rgb="FFE9D2D9"/>
        <bgColor indexed="64"/>
      </patternFill>
    </fill>
    <fill>
      <patternFill patternType="solid">
        <fgColor rgb="FFE7C6B4"/>
        <bgColor indexed="64"/>
      </patternFill>
    </fill>
    <fill>
      <patternFill patternType="solid">
        <fgColor rgb="FF8ED1A9"/>
        <bgColor indexed="64"/>
      </patternFill>
    </fill>
    <fill>
      <patternFill patternType="solid">
        <fgColor rgb="FF66D9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5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3" fillId="0" borderId="0" xfId="0" applyFont="1"/>
    <xf numFmtId="4" fontId="14" fillId="0" borderId="2" xfId="0" applyNumberFormat="1" applyFont="1" applyBorder="1"/>
    <xf numFmtId="164" fontId="14" fillId="0" borderId="0" xfId="0" applyNumberFormat="1" applyFont="1"/>
    <xf numFmtId="0" fontId="15" fillId="0" borderId="0" xfId="0" applyFont="1" applyAlignment="1">
      <alignment vertical="center"/>
    </xf>
    <xf numFmtId="0" fontId="10" fillId="0" borderId="0" xfId="0" applyFont="1"/>
    <xf numFmtId="4" fontId="10" fillId="4" borderId="2" xfId="0" applyNumberFormat="1" applyFont="1" applyFill="1" applyBorder="1"/>
    <xf numFmtId="0" fontId="16" fillId="5" borderId="1" xfId="0" applyFont="1" applyFill="1" applyBorder="1" applyAlignment="1">
      <alignment horizontal="center" wrapText="1"/>
    </xf>
    <xf numFmtId="0" fontId="14" fillId="6" borderId="1" xfId="0" applyFont="1" applyFill="1" applyBorder="1"/>
    <xf numFmtId="0" fontId="17" fillId="0" borderId="0" xfId="0" applyFont="1" applyAlignment="1">
      <alignment vertical="center"/>
    </xf>
    <xf numFmtId="0" fontId="14" fillId="7" borderId="1" xfId="0" applyFont="1" applyFill="1" applyBorder="1"/>
    <xf numFmtId="0" fontId="7" fillId="0" borderId="0" xfId="0" applyFont="1"/>
    <xf numFmtId="0" fontId="14" fillId="8" borderId="1" xfId="0" applyFont="1" applyFill="1" applyBorder="1"/>
    <xf numFmtId="0" fontId="15" fillId="2" borderId="1" xfId="0" applyFont="1" applyFill="1" applyBorder="1" applyAlignment="1">
      <alignment vertical="center"/>
    </xf>
    <xf numFmtId="0" fontId="14" fillId="0" borderId="0" xfId="0" applyFont="1"/>
    <xf numFmtId="0" fontId="14" fillId="9" borderId="1" xfId="0" applyFont="1" applyFill="1" applyBorder="1"/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center"/>
    </xf>
    <xf numFmtId="4" fontId="10" fillId="2" borderId="1" xfId="0" applyNumberFormat="1" applyFont="1" applyFill="1" applyBorder="1"/>
    <xf numFmtId="4" fontId="10" fillId="0" borderId="2" xfId="0" applyNumberFormat="1" applyFont="1" applyBorder="1"/>
    <xf numFmtId="0" fontId="20" fillId="0" borderId="0" xfId="0" applyFont="1" applyAlignment="1">
      <alignment vertical="center"/>
    </xf>
    <xf numFmtId="0" fontId="4" fillId="4" borderId="1" xfId="0" applyFont="1" applyFill="1" applyBorder="1" applyAlignment="1">
      <alignment vertical="top" wrapText="1"/>
    </xf>
    <xf numFmtId="0" fontId="21" fillId="3" borderId="1" xfId="0" applyFont="1" applyFill="1" applyBorder="1" applyAlignment="1">
      <alignment vertical="center"/>
    </xf>
    <xf numFmtId="0" fontId="14" fillId="3" borderId="1" xfId="0" applyFont="1" applyFill="1" applyBorder="1"/>
    <xf numFmtId="4" fontId="14" fillId="0" borderId="0" xfId="0" applyNumberFormat="1" applyFont="1"/>
    <xf numFmtId="4" fontId="14" fillId="9" borderId="1" xfId="0" applyNumberFormat="1" applyFont="1" applyFill="1" applyBorder="1"/>
    <xf numFmtId="0" fontId="15" fillId="5" borderId="1" xfId="0" applyFont="1" applyFill="1" applyBorder="1" applyAlignment="1">
      <alignment vertical="center"/>
    </xf>
    <xf numFmtId="4" fontId="10" fillId="5" borderId="1" xfId="0" applyNumberFormat="1" applyFont="1" applyFill="1" applyBorder="1"/>
    <xf numFmtId="0" fontId="18" fillId="0" borderId="0" xfId="0" applyFont="1" applyAlignment="1">
      <alignment vertical="center"/>
    </xf>
    <xf numFmtId="4" fontId="10" fillId="0" borderId="0" xfId="0" applyNumberFormat="1" applyFont="1"/>
    <xf numFmtId="2" fontId="14" fillId="0" borderId="0" xfId="0" applyNumberFormat="1" applyFont="1"/>
    <xf numFmtId="4" fontId="10" fillId="4" borderId="1" xfId="0" applyNumberFormat="1" applyFont="1" applyFill="1" applyBorder="1"/>
    <xf numFmtId="2" fontId="10" fillId="0" borderId="0" xfId="0" applyNumberFormat="1" applyFont="1"/>
    <xf numFmtId="4" fontId="10" fillId="10" borderId="1" xfId="0" applyNumberFormat="1" applyFont="1" applyFill="1" applyBorder="1"/>
    <xf numFmtId="4" fontId="10" fillId="8" borderId="1" xfId="0" applyNumberFormat="1" applyFont="1" applyFill="1" applyBorder="1"/>
    <xf numFmtId="4" fontId="14" fillId="11" borderId="1" xfId="0" applyNumberFormat="1" applyFont="1" applyFill="1" applyBorder="1"/>
    <xf numFmtId="0" fontId="18" fillId="9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4" fontId="10" fillId="10" borderId="1" xfId="0" applyNumberFormat="1" applyFont="1" applyFill="1" applyBorder="1" applyAlignment="1">
      <alignment vertical="center"/>
    </xf>
    <xf numFmtId="4" fontId="10" fillId="0" borderId="0" xfId="0" applyNumberFormat="1" applyFont="1" applyAlignment="1">
      <alignment vertical="center"/>
    </xf>
    <xf numFmtId="4" fontId="10" fillId="2" borderId="1" xfId="0" applyNumberFormat="1" applyFont="1" applyFill="1" applyBorder="1" applyAlignment="1">
      <alignment vertical="center"/>
    </xf>
    <xf numFmtId="4" fontId="22" fillId="0" borderId="0" xfId="0" applyNumberFormat="1" applyFont="1"/>
    <xf numFmtId="4" fontId="23" fillId="0" borderId="0" xfId="0" applyNumberFormat="1" applyFont="1"/>
    <xf numFmtId="0" fontId="10" fillId="0" borderId="0" xfId="0" applyFont="1" applyAlignment="1">
      <alignment horizontal="center"/>
    </xf>
    <xf numFmtId="4" fontId="24" fillId="0" borderId="0" xfId="0" applyNumberFormat="1" applyFont="1"/>
    <xf numFmtId="0" fontId="15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4" fontId="25" fillId="0" borderId="0" xfId="0" applyNumberFormat="1" applyFont="1"/>
    <xf numFmtId="0" fontId="26" fillId="0" borderId="0" xfId="0" applyFont="1"/>
    <xf numFmtId="0" fontId="29" fillId="0" borderId="0" xfId="0" applyFont="1" applyAlignment="1">
      <alignment vertical="center"/>
    </xf>
    <xf numFmtId="165" fontId="26" fillId="0" borderId="6" xfId="0" applyNumberFormat="1" applyFont="1" applyBorder="1"/>
    <xf numFmtId="0" fontId="30" fillId="0" borderId="0" xfId="0" applyFont="1" applyAlignment="1">
      <alignment vertical="center"/>
    </xf>
    <xf numFmtId="4" fontId="27" fillId="0" borderId="0" xfId="0" applyNumberFormat="1" applyFont="1"/>
    <xf numFmtId="4" fontId="31" fillId="0" borderId="0" xfId="0" applyNumberFormat="1" applyFont="1"/>
    <xf numFmtId="0" fontId="14" fillId="3" borderId="5" xfId="0" applyFont="1" applyFill="1" applyBorder="1"/>
    <xf numFmtId="4" fontId="14" fillId="9" borderId="5" xfId="0" applyNumberFormat="1" applyFont="1" applyFill="1" applyBorder="1"/>
    <xf numFmtId="4" fontId="10" fillId="5" borderId="5" xfId="0" applyNumberFormat="1" applyFont="1" applyFill="1" applyBorder="1"/>
    <xf numFmtId="0" fontId="32" fillId="3" borderId="2" xfId="0" applyFont="1" applyFill="1" applyBorder="1" applyAlignment="1">
      <alignment horizontal="center" vertical="center" wrapText="1"/>
    </xf>
    <xf numFmtId="4" fontId="14" fillId="12" borderId="0" xfId="0" applyNumberFormat="1" applyFont="1" applyFill="1"/>
    <xf numFmtId="0" fontId="34" fillId="5" borderId="1" xfId="0" applyFont="1" applyFill="1" applyBorder="1" applyAlignment="1">
      <alignment horizontal="center" vertical="center" wrapText="1"/>
    </xf>
    <xf numFmtId="0" fontId="35" fillId="13" borderId="0" xfId="0" applyFont="1" applyFill="1" applyAlignment="1">
      <alignment vertical="center"/>
    </xf>
    <xf numFmtId="0" fontId="35" fillId="14" borderId="0" xfId="0" applyFont="1" applyFill="1" applyAlignment="1">
      <alignment vertical="center"/>
    </xf>
    <xf numFmtId="0" fontId="35" fillId="15" borderId="0" xfId="0" applyFont="1" applyFill="1" applyAlignment="1">
      <alignment vertical="center"/>
    </xf>
    <xf numFmtId="0" fontId="35" fillId="16" borderId="0" xfId="0" applyFont="1" applyFill="1" applyAlignment="1">
      <alignment vertical="center"/>
    </xf>
    <xf numFmtId="0" fontId="26" fillId="0" borderId="0" xfId="0" applyFont="1" applyAlignment="1">
      <alignment horizontal="right"/>
    </xf>
    <xf numFmtId="4" fontId="28" fillId="9" borderId="1" xfId="0" applyNumberFormat="1" applyFont="1" applyFill="1" applyBorder="1"/>
    <xf numFmtId="4" fontId="26" fillId="0" borderId="0" xfId="0" applyNumberFormat="1" applyFont="1" applyAlignment="1">
      <alignment horizontal="center"/>
    </xf>
    <xf numFmtId="4" fontId="0" fillId="0" borderId="0" xfId="0" applyNumberFormat="1"/>
    <xf numFmtId="0" fontId="30" fillId="17" borderId="0" xfId="0" applyFont="1" applyFill="1" applyAlignment="1">
      <alignment vertical="center"/>
    </xf>
    <xf numFmtId="0" fontId="30" fillId="18" borderId="0" xfId="0" applyFont="1" applyFill="1" applyAlignment="1">
      <alignment vertical="center"/>
    </xf>
    <xf numFmtId="0" fontId="30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30" fillId="20" borderId="0" xfId="0" applyFont="1" applyFill="1" applyAlignment="1">
      <alignment vertical="center"/>
    </xf>
    <xf numFmtId="0" fontId="30" fillId="21" borderId="0" xfId="0" applyFont="1" applyFill="1" applyAlignment="1">
      <alignment vertical="center"/>
    </xf>
    <xf numFmtId="0" fontId="7" fillId="22" borderId="0" xfId="0" applyFont="1" applyFill="1" applyAlignment="1">
      <alignment vertical="center"/>
    </xf>
    <xf numFmtId="0" fontId="30" fillId="22" borderId="0" xfId="0" applyFont="1" applyFill="1" applyAlignment="1">
      <alignment vertical="center"/>
    </xf>
    <xf numFmtId="4" fontId="36" fillId="0" borderId="0" xfId="0" applyNumberFormat="1" applyFont="1"/>
    <xf numFmtId="0" fontId="37" fillId="0" borderId="0" xfId="0" applyFont="1" applyAlignment="1">
      <alignment vertical="center"/>
    </xf>
    <xf numFmtId="4" fontId="36" fillId="23" borderId="0" xfId="0" applyNumberFormat="1" applyFont="1" applyFill="1"/>
    <xf numFmtId="0" fontId="30" fillId="24" borderId="0" xfId="0" applyFont="1" applyFill="1" applyAlignment="1">
      <alignment vertical="center"/>
    </xf>
    <xf numFmtId="0" fontId="38" fillId="5" borderId="1" xfId="0" applyFont="1" applyFill="1" applyBorder="1" applyAlignment="1">
      <alignment vertical="center"/>
    </xf>
    <xf numFmtId="0" fontId="37" fillId="24" borderId="0" xfId="0" applyFont="1" applyFill="1" applyAlignment="1">
      <alignment vertical="center"/>
    </xf>
    <xf numFmtId="0" fontId="38" fillId="15" borderId="0" xfId="0" applyFont="1" applyFill="1" applyAlignment="1">
      <alignment vertical="center"/>
    </xf>
    <xf numFmtId="44" fontId="28" fillId="5" borderId="5" xfId="1" applyFont="1" applyFill="1" applyBorder="1" applyAlignment="1">
      <alignment horizontal="center" vertical="center"/>
    </xf>
    <xf numFmtId="44" fontId="39" fillId="15" borderId="0" xfId="1" applyFont="1" applyFill="1" applyAlignment="1">
      <alignment horizontal="center" vertical="center"/>
    </xf>
    <xf numFmtId="44" fontId="39" fillId="15" borderId="0" xfId="1" applyFont="1" applyFill="1"/>
    <xf numFmtId="44" fontId="28" fillId="5" borderId="1" xfId="1" applyFont="1" applyFill="1" applyBorder="1"/>
    <xf numFmtId="44" fontId="14" fillId="0" borderId="0" xfId="1" applyFont="1"/>
    <xf numFmtId="0" fontId="40" fillId="0" borderId="0" xfId="0" applyFont="1"/>
    <xf numFmtId="4" fontId="39" fillId="9" borderId="1" xfId="0" applyNumberFormat="1" applyFont="1" applyFill="1" applyBorder="1"/>
    <xf numFmtId="0" fontId="10" fillId="0" borderId="0" xfId="0" applyFont="1" applyAlignment="1">
      <alignment vertical="center"/>
    </xf>
    <xf numFmtId="0" fontId="1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1" fillId="0" borderId="0" xfId="0" applyFont="1"/>
    <xf numFmtId="166" fontId="0" fillId="0" borderId="2" xfId="0" applyNumberFormat="1" applyBorder="1"/>
    <xf numFmtId="0" fontId="0" fillId="0" borderId="2" xfId="0" applyBorder="1"/>
    <xf numFmtId="0" fontId="44" fillId="0" borderId="2" xfId="0" applyFont="1" applyBorder="1" applyAlignment="1">
      <alignment wrapText="1"/>
    </xf>
    <xf numFmtId="0" fontId="26" fillId="0" borderId="2" xfId="0" applyFont="1" applyBorder="1"/>
    <xf numFmtId="0" fontId="42" fillId="0" borderId="2" xfId="0" applyFont="1" applyBorder="1"/>
    <xf numFmtId="0" fontId="0" fillId="0" borderId="2" xfId="0" applyBorder="1" applyAlignment="1">
      <alignment vertical="center" wrapText="1"/>
    </xf>
    <xf numFmtId="166" fontId="0" fillId="0" borderId="2" xfId="0" applyNumberFormat="1" applyBorder="1" applyAlignment="1">
      <alignment vertical="center"/>
    </xf>
    <xf numFmtId="4" fontId="36" fillId="12" borderId="0" xfId="0" applyNumberFormat="1" applyFont="1" applyFill="1"/>
    <xf numFmtId="0" fontId="43" fillId="25" borderId="2" xfId="0" applyFont="1" applyFill="1" applyBorder="1" applyAlignment="1">
      <alignment horizontal="center" vertical="center"/>
    </xf>
    <xf numFmtId="16" fontId="43" fillId="25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/>
    </xf>
    <xf numFmtId="0" fontId="44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47" fillId="0" borderId="0" xfId="0" applyFont="1"/>
    <xf numFmtId="0" fontId="48" fillId="0" borderId="0" xfId="0" applyFont="1"/>
    <xf numFmtId="44" fontId="0" fillId="0" borderId="2" xfId="1" applyFont="1" applyBorder="1" applyAlignment="1">
      <alignment vertical="center"/>
    </xf>
    <xf numFmtId="44" fontId="0" fillId="0" borderId="2" xfId="1" applyFont="1" applyBorder="1" applyAlignment="1">
      <alignment horizontal="right" vertical="center"/>
    </xf>
    <xf numFmtId="44" fontId="0" fillId="0" borderId="2" xfId="1" applyFont="1" applyBorder="1" applyAlignment="1">
      <alignment horizontal="center" vertical="center"/>
    </xf>
    <xf numFmtId="44" fontId="26" fillId="0" borderId="2" xfId="1" applyFont="1" applyBorder="1"/>
    <xf numFmtId="44" fontId="0" fillId="0" borderId="2" xfId="1" applyFont="1" applyBorder="1" applyAlignment="1">
      <alignment horizontal="right"/>
    </xf>
    <xf numFmtId="44" fontId="0" fillId="0" borderId="2" xfId="1" applyFont="1" applyBorder="1"/>
    <xf numFmtId="44" fontId="0" fillId="0" borderId="2" xfId="1" applyFont="1" applyBorder="1" applyAlignment="1">
      <alignment horizontal="center"/>
    </xf>
    <xf numFmtId="0" fontId="0" fillId="0" borderId="0" xfId="0" applyAlignment="1">
      <alignment vertical="top"/>
    </xf>
    <xf numFmtId="0" fontId="10" fillId="2" borderId="3" xfId="0" applyFont="1" applyFill="1" applyBorder="1" applyAlignment="1">
      <alignment vertical="center"/>
    </xf>
    <xf numFmtId="0" fontId="12" fillId="0" borderId="4" xfId="0" applyFont="1" applyBorder="1"/>
    <xf numFmtId="0" fontId="12" fillId="0" borderId="5" xfId="0" applyFont="1" applyBorder="1"/>
    <xf numFmtId="0" fontId="19" fillId="0" borderId="0" xfId="0" applyFont="1"/>
    <xf numFmtId="0" fontId="0" fillId="0" borderId="0" xfId="0"/>
    <xf numFmtId="0" fontId="10" fillId="4" borderId="3" xfId="0" applyFont="1" applyFill="1" applyBorder="1" applyAlignment="1">
      <alignment vertical="center"/>
    </xf>
    <xf numFmtId="0" fontId="3" fillId="0" borderId="0" xfId="0" applyFont="1"/>
    <xf numFmtId="0" fontId="4" fillId="2" borderId="3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45" fillId="31" borderId="2" xfId="0" applyFont="1" applyFill="1" applyBorder="1" applyAlignment="1">
      <alignment horizontal="center" vertical="center" wrapText="1"/>
    </xf>
    <xf numFmtId="0" fontId="45" fillId="32" borderId="2" xfId="0" applyFont="1" applyFill="1" applyBorder="1" applyAlignment="1">
      <alignment horizontal="center" vertical="center" wrapText="1"/>
    </xf>
    <xf numFmtId="0" fontId="45" fillId="33" borderId="2" xfId="0" applyFont="1" applyFill="1" applyBorder="1" applyAlignment="1">
      <alignment horizontal="center" vertical="center" wrapText="1"/>
    </xf>
    <xf numFmtId="0" fontId="46" fillId="34" borderId="2" xfId="0" applyFont="1" applyFill="1" applyBorder="1" applyAlignment="1">
      <alignment horizontal="center" vertical="center"/>
    </xf>
    <xf numFmtId="0" fontId="45" fillId="26" borderId="2" xfId="0" applyFont="1" applyFill="1" applyBorder="1" applyAlignment="1">
      <alignment horizontal="center" vertical="center" wrapText="1"/>
    </xf>
    <xf numFmtId="0" fontId="45" fillId="27" borderId="2" xfId="0" applyFont="1" applyFill="1" applyBorder="1" applyAlignment="1">
      <alignment horizontal="center" vertical="center" wrapText="1"/>
    </xf>
    <xf numFmtId="0" fontId="45" fillId="28" borderId="2" xfId="0" applyFont="1" applyFill="1" applyBorder="1" applyAlignment="1">
      <alignment horizontal="center" vertical="center" wrapText="1"/>
    </xf>
    <xf numFmtId="0" fontId="45" fillId="29" borderId="2" xfId="0" applyFont="1" applyFill="1" applyBorder="1" applyAlignment="1">
      <alignment horizontal="center" vertical="center" wrapText="1"/>
    </xf>
    <xf numFmtId="0" fontId="45" fillId="30" borderId="2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14" fillId="35" borderId="0" xfId="0" applyNumberFormat="1" applyFont="1" applyFill="1"/>
  </cellXfs>
  <cellStyles count="2">
    <cellStyle name="Moneda" xfId="1" builtinId="4"/>
    <cellStyle name="Normal" xfId="0" builtinId="0"/>
  </cellStyles>
  <dxfs count="8">
    <dxf>
      <font>
        <b/>
        <color rgb="FFC00000"/>
      </font>
      <fill>
        <patternFill patternType="solid">
          <fgColor rgb="FFF4B183"/>
          <bgColor rgb="FFF4B183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F8696B"/>
          <bgColor rgb="FFF8696B"/>
        </patternFill>
      </fill>
    </dxf>
    <dxf>
      <font>
        <b/>
        <color rgb="FFC00000"/>
      </font>
      <fill>
        <patternFill patternType="solid">
          <fgColor rgb="FFF4B183"/>
          <bgColor rgb="FFF4B183"/>
        </patternFill>
      </fill>
    </dxf>
    <dxf>
      <fill>
        <patternFill patternType="solid">
          <fgColor rgb="FF63BE7B"/>
          <bgColor rgb="FF63BE7B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F8696B"/>
          <bgColor rgb="FFF8696B"/>
        </patternFill>
      </fill>
    </dxf>
  </dxfs>
  <tableStyles count="0" defaultTableStyle="TableStyleMedium2" defaultPivotStyle="PivotStyleLight16"/>
  <colors>
    <mruColors>
      <color rgb="FFFFFFCC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200" b="1"/>
              <a:t>FLUJO</a:t>
            </a:r>
            <a:r>
              <a:rPr lang="es-EC" sz="1200" b="1" baseline="0"/>
              <a:t> DE  CAJA MOBIJUESA</a:t>
            </a:r>
            <a:endParaRPr lang="es-EC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Estadística!$B$4</c:f>
              <c:strCache>
                <c:ptCount val="1"/>
                <c:pt idx="0">
                  <c:v>TOTAL INGRESOS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strRef>
              <c:f>Estadística!$C$3:$L$3</c:f>
              <c:strCache>
                <c:ptCount val="10"/>
                <c:pt idx="0">
                  <c:v>07-Sep / 13-Sep</c:v>
                </c:pt>
                <c:pt idx="1">
                  <c:v>14-Sep / 20-Sep</c:v>
                </c:pt>
                <c:pt idx="2">
                  <c:v>21-Sep / 27-Sep</c:v>
                </c:pt>
                <c:pt idx="3">
                  <c:v>28-Sep / 04-Oct</c:v>
                </c:pt>
                <c:pt idx="4">
                  <c:v>05-Oct / 11-Oct</c:v>
                </c:pt>
                <c:pt idx="5">
                  <c:v>12-Oct / 18-Oct</c:v>
                </c:pt>
                <c:pt idx="6">
                  <c:v>19-Oct / 25-Oct</c:v>
                </c:pt>
                <c:pt idx="7">
                  <c:v>26-Oct / 01-Nov</c:v>
                </c:pt>
                <c:pt idx="8">
                  <c:v>02-Nov / 08-Nov</c:v>
                </c:pt>
                <c:pt idx="9">
                  <c:v>09-Nov / 15-Nov</c:v>
                </c:pt>
              </c:strCache>
            </c:strRef>
          </c:cat>
          <c:val>
            <c:numRef>
              <c:f>Estadística!$C$4:$L$4</c:f>
              <c:numCache>
                <c:formatCode>[Blue]"$"#,##0;[Red]"$"\-#,##0</c:formatCode>
                <c:ptCount val="10"/>
                <c:pt idx="0">
                  <c:v>19669.46</c:v>
                </c:pt>
                <c:pt idx="1">
                  <c:v>31435.300000000003</c:v>
                </c:pt>
                <c:pt idx="2">
                  <c:v>23206.854238095239</c:v>
                </c:pt>
                <c:pt idx="3">
                  <c:v>19090.993476190473</c:v>
                </c:pt>
                <c:pt idx="4">
                  <c:v>3928.9957142857093</c:v>
                </c:pt>
                <c:pt idx="5">
                  <c:v>-11747.326714285722</c:v>
                </c:pt>
                <c:pt idx="6">
                  <c:v>-15644.475142857151</c:v>
                </c:pt>
                <c:pt idx="7">
                  <c:v>-6989.3425714285804</c:v>
                </c:pt>
                <c:pt idx="8">
                  <c:v>-14774.046000000009</c:v>
                </c:pt>
                <c:pt idx="9">
                  <c:v>-12752.71000000001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0-4C0D-B373-76AD56EA4FB9}"/>
            </c:ext>
          </c:extLst>
        </c:ser>
        <c:ser>
          <c:idx val="1"/>
          <c:order val="1"/>
          <c:tx>
            <c:strRef>
              <c:f>Estadística!$B$5</c:f>
              <c:strCache>
                <c:ptCount val="1"/>
                <c:pt idx="0">
                  <c:v>TOTAL EGRESOS (fijos + obra)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Estadística!$C$3:$L$3</c:f>
              <c:strCache>
                <c:ptCount val="10"/>
                <c:pt idx="0">
                  <c:v>07-Sep / 13-Sep</c:v>
                </c:pt>
                <c:pt idx="1">
                  <c:v>14-Sep / 20-Sep</c:v>
                </c:pt>
                <c:pt idx="2">
                  <c:v>21-Sep / 27-Sep</c:v>
                </c:pt>
                <c:pt idx="3">
                  <c:v>28-Sep / 04-Oct</c:v>
                </c:pt>
                <c:pt idx="4">
                  <c:v>05-Oct / 11-Oct</c:v>
                </c:pt>
                <c:pt idx="5">
                  <c:v>12-Oct / 18-Oct</c:v>
                </c:pt>
                <c:pt idx="6">
                  <c:v>19-Oct / 25-Oct</c:v>
                </c:pt>
                <c:pt idx="7">
                  <c:v>26-Oct / 01-Nov</c:v>
                </c:pt>
                <c:pt idx="8">
                  <c:v>02-Nov / 08-Nov</c:v>
                </c:pt>
                <c:pt idx="9">
                  <c:v>09-Nov / 15-Nov</c:v>
                </c:pt>
              </c:strCache>
            </c:strRef>
          </c:cat>
          <c:val>
            <c:numRef>
              <c:f>Estadística!$C$5:$L$5</c:f>
              <c:numCache>
                <c:formatCode>[Blue]"$"#,##0;[Red]"$"\-#,##0</c:formatCode>
                <c:ptCount val="10"/>
                <c:pt idx="0">
                  <c:v>13199.859999999999</c:v>
                </c:pt>
                <c:pt idx="1">
                  <c:v>16166.223761904765</c:v>
                </c:pt>
                <c:pt idx="2">
                  <c:v>14699.564761904763</c:v>
                </c:pt>
                <c:pt idx="3">
                  <c:v>20453.849761904763</c:v>
                </c:pt>
                <c:pt idx="4">
                  <c:v>18322.248428571431</c:v>
                </c:pt>
                <c:pt idx="5">
                  <c:v>11834.926428571429</c:v>
                </c:pt>
                <c:pt idx="6">
                  <c:v>1928.5714285714284</c:v>
                </c:pt>
                <c:pt idx="7">
                  <c:v>13076.555428571428</c:v>
                </c:pt>
                <c:pt idx="8">
                  <c:v>624.59</c:v>
                </c:pt>
                <c:pt idx="9">
                  <c:v>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0-4C0D-B373-76AD56EA4FB9}"/>
            </c:ext>
          </c:extLst>
        </c:ser>
        <c:ser>
          <c:idx val="2"/>
          <c:order val="2"/>
          <c:tx>
            <c:strRef>
              <c:f>Estadística!$B$6</c:f>
              <c:strCache>
                <c:ptCount val="1"/>
                <c:pt idx="0">
                  <c:v>SALDO FINAL DE CAJA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8.3632019115890081E-3"/>
                  <c:y val="7.68049155145929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20-4C0D-B373-76AD56EA4FB9}"/>
                </c:ext>
              </c:extLst>
            </c:dLbl>
            <c:dLbl>
              <c:idx val="7"/>
              <c:layout>
                <c:manualLayout>
                  <c:x val="1.4336917562723928E-2"/>
                  <c:y val="9.6006144393241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20-4C0D-B373-76AD56EA4F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Estadística!$C$3:$L$3</c:f>
              <c:strCache>
                <c:ptCount val="10"/>
                <c:pt idx="0">
                  <c:v>07-Sep / 13-Sep</c:v>
                </c:pt>
                <c:pt idx="1">
                  <c:v>14-Sep / 20-Sep</c:v>
                </c:pt>
                <c:pt idx="2">
                  <c:v>21-Sep / 27-Sep</c:v>
                </c:pt>
                <c:pt idx="3">
                  <c:v>28-Sep / 04-Oct</c:v>
                </c:pt>
                <c:pt idx="4">
                  <c:v>05-Oct / 11-Oct</c:v>
                </c:pt>
                <c:pt idx="5">
                  <c:v>12-Oct / 18-Oct</c:v>
                </c:pt>
                <c:pt idx="6">
                  <c:v>19-Oct / 25-Oct</c:v>
                </c:pt>
                <c:pt idx="7">
                  <c:v>26-Oct / 01-Nov</c:v>
                </c:pt>
                <c:pt idx="8">
                  <c:v>02-Nov / 08-Nov</c:v>
                </c:pt>
                <c:pt idx="9">
                  <c:v>09-Nov / 15-Nov</c:v>
                </c:pt>
              </c:strCache>
            </c:strRef>
          </c:cat>
          <c:val>
            <c:numRef>
              <c:f>Estadística!$C$6:$L$6</c:f>
              <c:numCache>
                <c:formatCode>[Blue]"$"#,##0;[Red]"$"\-#,##0</c:formatCode>
                <c:ptCount val="10"/>
                <c:pt idx="0">
                  <c:v>31435.300000000003</c:v>
                </c:pt>
                <c:pt idx="1">
                  <c:v>23206.854238095239</c:v>
                </c:pt>
                <c:pt idx="2">
                  <c:v>19090.993476190473</c:v>
                </c:pt>
                <c:pt idx="3">
                  <c:v>3928.9957142857093</c:v>
                </c:pt>
                <c:pt idx="4">
                  <c:v>-11747.326714285722</c:v>
                </c:pt>
                <c:pt idx="5">
                  <c:v>-15644.475142857151</c:v>
                </c:pt>
                <c:pt idx="6">
                  <c:v>-6989.3425714285804</c:v>
                </c:pt>
                <c:pt idx="7">
                  <c:v>-14774.046000000009</c:v>
                </c:pt>
                <c:pt idx="8">
                  <c:v>-12752.71000000001</c:v>
                </c:pt>
                <c:pt idx="9">
                  <c:v>-5859.9320000000107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0-4C0D-B373-76AD56EA4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523744"/>
        <c:axId val="588517984"/>
      </c:lineChart>
      <c:catAx>
        <c:axId val="5885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8517984"/>
        <c:crosses val="autoZero"/>
        <c:auto val="1"/>
        <c:lblAlgn val="ctr"/>
        <c:lblOffset val="100"/>
        <c:noMultiLvlLbl val="0"/>
      </c:catAx>
      <c:valAx>
        <c:axId val="588517984"/>
        <c:scaling>
          <c:orientation val="minMax"/>
        </c:scaling>
        <c:delete val="0"/>
        <c:axPos val="l"/>
        <c:numFmt formatCode="[Blue]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85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200" b="1"/>
              <a:t>FLUJO</a:t>
            </a:r>
            <a:r>
              <a:rPr lang="es-EC" sz="1200" b="1" baseline="0"/>
              <a:t> DE  CAJA MOBIJUESA</a:t>
            </a:r>
            <a:endParaRPr lang="es-EC" sz="1200" b="1"/>
          </a:p>
        </c:rich>
      </c:tx>
      <c:layout>
        <c:manualLayout>
          <c:xMode val="edge"/>
          <c:yMode val="edge"/>
          <c:x val="0.23512501196467525"/>
          <c:y val="4.2242703533026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4835512817534973E-2"/>
          <c:y val="0.13306451612903225"/>
          <c:w val="0.90337490999465775"/>
          <c:h val="0.78993220605488834"/>
        </c:manualLayout>
      </c:layout>
      <c:lineChart>
        <c:grouping val="standard"/>
        <c:varyColors val="0"/>
        <c:ser>
          <c:idx val="0"/>
          <c:order val="0"/>
          <c:tx>
            <c:strRef>
              <c:f>'Estadística (2)'!$B$6</c:f>
              <c:strCache>
                <c:ptCount val="1"/>
                <c:pt idx="0">
                  <c:v>SALDO FINAL DE CAJA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4078726968174206E-2"/>
                  <c:y val="-7.29646697388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8A-41A7-9EA2-C31D9F72E0C6}"/>
                </c:ext>
              </c:extLst>
            </c:dLbl>
            <c:dLbl>
              <c:idx val="10"/>
              <c:layout>
                <c:manualLayout>
                  <c:x val="-2.290076335877872E-2"/>
                  <c:y val="-4.60829493087557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F8A-41A7-9EA2-C31D9F72E0C6}"/>
                </c:ext>
              </c:extLst>
            </c:dLbl>
            <c:dLbl>
              <c:idx val="19"/>
              <c:layout>
                <c:manualLayout>
                  <c:x val="4.5476892822025564E-2"/>
                  <c:y val="6.91244239631334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F8A-41A7-9EA2-C31D9F72E0C6}"/>
                </c:ext>
              </c:extLst>
            </c:dLbl>
            <c:dLbl>
              <c:idx val="20"/>
              <c:layout>
                <c:manualLayout>
                  <c:x val="5.6345979785156416E-2"/>
                  <c:y val="-3.0721966205837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8A-41A7-9EA2-C31D9F72E0C6}"/>
                </c:ext>
              </c:extLst>
            </c:dLbl>
            <c:dLbl>
              <c:idx val="24"/>
              <c:layout>
                <c:manualLayout>
                  <c:x val="2.1326508850501172E-3"/>
                  <c:y val="9.9846390168970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F8A-41A7-9EA2-C31D9F72E0C6}"/>
                </c:ext>
              </c:extLst>
            </c:dLbl>
            <c:dLbl>
              <c:idx val="25"/>
              <c:layout>
                <c:manualLayout>
                  <c:x val="1.2795905310300547E-2"/>
                  <c:y val="7.68049155145929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F8A-41A7-9EA2-C31D9F72E0C6}"/>
                </c:ext>
              </c:extLst>
            </c:dLbl>
            <c:dLbl>
              <c:idx val="26"/>
              <c:layout>
                <c:manualLayout>
                  <c:x val="6.3979526551503517E-3"/>
                  <c:y val="-3.4562211981566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25-4533-8CAC-D89E2E3F13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'Estadística (2)'!$C$3:$AD$3</c:f>
              <c:strCache>
                <c:ptCount val="28"/>
                <c:pt idx="0">
                  <c:v>oct</c:v>
                </c:pt>
                <c:pt idx="1">
                  <c:v>oct</c:v>
                </c:pt>
                <c:pt idx="2">
                  <c:v>oct</c:v>
                </c:pt>
                <c:pt idx="3">
                  <c:v>nov</c:v>
                </c:pt>
                <c:pt idx="4">
                  <c:v>nov</c:v>
                </c:pt>
                <c:pt idx="5">
                  <c:v>nov</c:v>
                </c:pt>
                <c:pt idx="6">
                  <c:v>nov</c:v>
                </c:pt>
                <c:pt idx="7">
                  <c:v>nov</c:v>
                </c:pt>
                <c:pt idx="8">
                  <c:v>dic</c:v>
                </c:pt>
                <c:pt idx="9">
                  <c:v>dic</c:v>
                </c:pt>
                <c:pt idx="10">
                  <c:v>dic</c:v>
                </c:pt>
                <c:pt idx="11">
                  <c:v>dic</c:v>
                </c:pt>
                <c:pt idx="12">
                  <c:v>ene</c:v>
                </c:pt>
                <c:pt idx="13">
                  <c:v>ene</c:v>
                </c:pt>
                <c:pt idx="14">
                  <c:v>ene</c:v>
                </c:pt>
                <c:pt idx="15">
                  <c:v>ene</c:v>
                </c:pt>
                <c:pt idx="16">
                  <c:v>feb</c:v>
                </c:pt>
                <c:pt idx="17">
                  <c:v>feb</c:v>
                </c:pt>
                <c:pt idx="18">
                  <c:v>feb</c:v>
                </c:pt>
                <c:pt idx="19">
                  <c:v>feb</c:v>
                </c:pt>
                <c:pt idx="20">
                  <c:v>mar</c:v>
                </c:pt>
                <c:pt idx="21">
                  <c:v>mar</c:v>
                </c:pt>
                <c:pt idx="22">
                  <c:v>mar</c:v>
                </c:pt>
                <c:pt idx="23">
                  <c:v>mar</c:v>
                </c:pt>
                <c:pt idx="24">
                  <c:v>abr</c:v>
                </c:pt>
                <c:pt idx="25">
                  <c:v>abr</c:v>
                </c:pt>
                <c:pt idx="26">
                  <c:v>abr</c:v>
                </c:pt>
                <c:pt idx="27">
                  <c:v>abr</c:v>
                </c:pt>
              </c:strCache>
            </c:strRef>
          </c:cat>
          <c:val>
            <c:numRef>
              <c:f>'Estadística (2)'!$C$6:$AD$6</c:f>
              <c:numCache>
                <c:formatCode>[Blue]"$"#,##0;[Red]"$"\-#,##0</c:formatCode>
                <c:ptCount val="28"/>
                <c:pt idx="0">
                  <c:v>58093.213142857137</c:v>
                </c:pt>
                <c:pt idx="1">
                  <c:v>56972.639714285709</c:v>
                </c:pt>
                <c:pt idx="2">
                  <c:v>64429.88228571428</c:v>
                </c:pt>
                <c:pt idx="3">
                  <c:v>57680.178857142855</c:v>
                </c:pt>
                <c:pt idx="4">
                  <c:v>45683.568222527472</c:v>
                </c:pt>
                <c:pt idx="5">
                  <c:v>39486.969587912092</c:v>
                </c:pt>
                <c:pt idx="6">
                  <c:v>36981.296953296711</c:v>
                </c:pt>
                <c:pt idx="7">
                  <c:v>33973.460635989017</c:v>
                </c:pt>
                <c:pt idx="8">
                  <c:v>52905.420001373634</c:v>
                </c:pt>
                <c:pt idx="9">
                  <c:v>46708.821366758253</c:v>
                </c:pt>
                <c:pt idx="10">
                  <c:v>47203.148732142872</c:v>
                </c:pt>
                <c:pt idx="11">
                  <c:v>43650.624097527492</c:v>
                </c:pt>
                <c:pt idx="12">
                  <c:v>34787.583462912109</c:v>
                </c:pt>
                <c:pt idx="13">
                  <c:v>36402.134828296723</c:v>
                </c:pt>
                <c:pt idx="14">
                  <c:v>39896.462193681342</c:v>
                </c:pt>
                <c:pt idx="15">
                  <c:v>36343.937559065962</c:v>
                </c:pt>
                <c:pt idx="16">
                  <c:v>59149.083934065959</c:v>
                </c:pt>
                <c:pt idx="17">
                  <c:v>54245.139214065959</c:v>
                </c:pt>
                <c:pt idx="18">
                  <c:v>57142.120494065959</c:v>
                </c:pt>
                <c:pt idx="19">
                  <c:v>48882.24977406596</c:v>
                </c:pt>
                <c:pt idx="20">
                  <c:v>39106.863054065965</c:v>
                </c:pt>
                <c:pt idx="21">
                  <c:v>34202.918334065966</c:v>
                </c:pt>
                <c:pt idx="22">
                  <c:v>37099.899614065966</c:v>
                </c:pt>
                <c:pt idx="23">
                  <c:v>28840.028894065967</c:v>
                </c:pt>
                <c:pt idx="24">
                  <c:v>19064.642174065968</c:v>
                </c:pt>
                <c:pt idx="25">
                  <c:v>24395.91886637366</c:v>
                </c:pt>
                <c:pt idx="26">
                  <c:v>29308.121558681352</c:v>
                </c:pt>
                <c:pt idx="27">
                  <c:v>27173.472250989045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A-41A7-9EA2-C31D9F72E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523744"/>
        <c:axId val="588517984"/>
      </c:lineChart>
      <c:catAx>
        <c:axId val="5885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8517984"/>
        <c:crosses val="autoZero"/>
        <c:auto val="1"/>
        <c:lblAlgn val="ctr"/>
        <c:lblOffset val="100"/>
        <c:noMultiLvlLbl val="0"/>
      </c:catAx>
      <c:valAx>
        <c:axId val="588517984"/>
        <c:scaling>
          <c:orientation val="minMax"/>
        </c:scaling>
        <c:delete val="0"/>
        <c:axPos val="l"/>
        <c:numFmt formatCode="[Blue]&quot;$&quot;#,##0;[Red]&quot;$&quot;\-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58852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5109697180371"/>
          <c:y val="0.12944803270558922"/>
          <c:w val="0.12686518791676951"/>
          <c:h val="7.1780845942644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6</xdr:row>
      <xdr:rowOff>175260</xdr:rowOff>
    </xdr:from>
    <xdr:to>
      <xdr:col>12</xdr:col>
      <xdr:colOff>7620</xdr:colOff>
      <xdr:row>25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CEFE43-8096-A284-7752-FE870BCB5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6</xdr:row>
      <xdr:rowOff>175260</xdr:rowOff>
    </xdr:from>
    <xdr:to>
      <xdr:col>12</xdr:col>
      <xdr:colOff>304800</xdr:colOff>
      <xdr:row>25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C0FD9D-1698-4139-9DBA-92163BFC1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1000"/>
  <sheetViews>
    <sheetView showGridLines="0" workbookViewId="0"/>
  </sheetViews>
  <sheetFormatPr baseColWidth="10" defaultColWidth="14.44140625" defaultRowHeight="15" customHeight="1" x14ac:dyDescent="0.3"/>
  <cols>
    <col min="1" max="1" width="4" customWidth="1"/>
    <col min="2" max="2" width="55" customWidth="1"/>
    <col min="3" max="5" width="20" customWidth="1"/>
    <col min="6" max="26" width="8.88671875" customWidth="1"/>
  </cols>
  <sheetData>
    <row r="1" spans="2:3" ht="14.25" customHeight="1" x14ac:dyDescent="0.3"/>
    <row r="2" spans="2:3" ht="14.25" customHeight="1" x14ac:dyDescent="0.4">
      <c r="B2" s="2" t="s">
        <v>1</v>
      </c>
    </row>
    <row r="3" spans="2:3" ht="14.25" customHeight="1" x14ac:dyDescent="0.3">
      <c r="B3" s="8" t="s">
        <v>5</v>
      </c>
    </row>
    <row r="4" spans="2:3" ht="14.25" customHeight="1" x14ac:dyDescent="0.3"/>
    <row r="5" spans="2:3" ht="14.25" customHeight="1" x14ac:dyDescent="0.3">
      <c r="B5" s="5" t="s">
        <v>14</v>
      </c>
    </row>
    <row r="6" spans="2:3" ht="14.25" customHeight="1" x14ac:dyDescent="0.3"/>
    <row r="7" spans="2:3" ht="14.25" customHeight="1" x14ac:dyDescent="0.3">
      <c r="B7" s="10" t="s">
        <v>17</v>
      </c>
    </row>
    <row r="8" spans="2:3" ht="14.25" customHeight="1" x14ac:dyDescent="0.3">
      <c r="B8" s="11" t="s">
        <v>25</v>
      </c>
      <c r="C8" s="13">
        <v>19669.46</v>
      </c>
    </row>
    <row r="9" spans="2:3" ht="14.25" customHeight="1" x14ac:dyDescent="0.3">
      <c r="B9" s="11" t="s">
        <v>41</v>
      </c>
      <c r="C9" s="13">
        <v>6089.59</v>
      </c>
    </row>
    <row r="10" spans="2:3" ht="14.25" customHeight="1" x14ac:dyDescent="0.3">
      <c r="B10" s="11" t="s">
        <v>45</v>
      </c>
      <c r="C10" s="13">
        <v>3818.26</v>
      </c>
    </row>
    <row r="11" spans="2:3" ht="14.25" customHeight="1" x14ac:dyDescent="0.3">
      <c r="B11" s="11" t="s">
        <v>50</v>
      </c>
      <c r="C11" s="13">
        <v>2271.33</v>
      </c>
    </row>
    <row r="12" spans="2:3" ht="14.25" customHeight="1" x14ac:dyDescent="0.3">
      <c r="B12" s="11" t="s">
        <v>54</v>
      </c>
      <c r="C12" s="13">
        <v>24885.54</v>
      </c>
    </row>
    <row r="13" spans="2:3" ht="14.25" customHeight="1" x14ac:dyDescent="0.3">
      <c r="B13" s="15" t="s">
        <v>59</v>
      </c>
      <c r="C13" s="17">
        <v>-5216.08</v>
      </c>
    </row>
    <row r="14" spans="2:3" ht="14.25" customHeight="1" x14ac:dyDescent="0.3">
      <c r="B14" s="11" t="s">
        <v>68</v>
      </c>
      <c r="C14" s="13">
        <v>10088.129999999999</v>
      </c>
    </row>
    <row r="15" spans="2:3" ht="14.25" customHeight="1" x14ac:dyDescent="0.3"/>
    <row r="16" spans="2:3" ht="14.25" customHeight="1" x14ac:dyDescent="0.3">
      <c r="B16" s="20" t="s">
        <v>73</v>
      </c>
    </row>
    <row r="17" spans="2:2" ht="14.25" customHeight="1" x14ac:dyDescent="0.3">
      <c r="B17" s="22" t="s">
        <v>86</v>
      </c>
    </row>
    <row r="18" spans="2:2" ht="14.25" customHeight="1" x14ac:dyDescent="0.3">
      <c r="B18" s="22" t="s">
        <v>88</v>
      </c>
    </row>
    <row r="19" spans="2:2" ht="14.25" customHeight="1" x14ac:dyDescent="0.3">
      <c r="B19" s="22" t="s">
        <v>90</v>
      </c>
    </row>
    <row r="20" spans="2:2" ht="14.25" customHeight="1" x14ac:dyDescent="0.3">
      <c r="B20" s="22" t="s">
        <v>92</v>
      </c>
    </row>
    <row r="21" spans="2:2" ht="14.25" customHeight="1" x14ac:dyDescent="0.3">
      <c r="B21" s="22" t="s">
        <v>93</v>
      </c>
    </row>
    <row r="22" spans="2:2" ht="14.25" customHeight="1" x14ac:dyDescent="0.3">
      <c r="B22" s="22" t="s">
        <v>95</v>
      </c>
    </row>
    <row r="23" spans="2:2" ht="14.25" customHeight="1" x14ac:dyDescent="0.3">
      <c r="B23" s="22" t="s">
        <v>96</v>
      </c>
    </row>
    <row r="24" spans="2:2" ht="14.25" customHeight="1" x14ac:dyDescent="0.3">
      <c r="B24" s="22"/>
    </row>
    <row r="25" spans="2:2" ht="14.25" customHeight="1" x14ac:dyDescent="0.3">
      <c r="B25" s="22" t="s">
        <v>99</v>
      </c>
    </row>
    <row r="26" spans="2:2" ht="14.25" customHeight="1" x14ac:dyDescent="0.3">
      <c r="B26" s="22" t="s">
        <v>100</v>
      </c>
    </row>
    <row r="27" spans="2:2" ht="14.25" customHeight="1" x14ac:dyDescent="0.3">
      <c r="B27" s="22" t="s">
        <v>102</v>
      </c>
    </row>
    <row r="28" spans="2:2" ht="14.25" customHeight="1" x14ac:dyDescent="0.3"/>
    <row r="29" spans="2:2" ht="14.25" customHeight="1" x14ac:dyDescent="0.3">
      <c r="B29" s="10" t="s">
        <v>105</v>
      </c>
    </row>
    <row r="30" spans="2:2" ht="14.25" customHeight="1" x14ac:dyDescent="0.3">
      <c r="B30" s="28" t="s">
        <v>107</v>
      </c>
    </row>
    <row r="31" spans="2:2" ht="14.25" customHeight="1" x14ac:dyDescent="0.3">
      <c r="B31" s="28" t="s">
        <v>110</v>
      </c>
    </row>
    <row r="32" spans="2:2" ht="14.25" customHeight="1" x14ac:dyDescent="0.3">
      <c r="B32" s="28" t="s">
        <v>112</v>
      </c>
    </row>
    <row r="33" spans="2:2" ht="14.25" customHeight="1" x14ac:dyDescent="0.3">
      <c r="B33" s="28" t="s">
        <v>115</v>
      </c>
    </row>
    <row r="34" spans="2:2" ht="14.25" customHeight="1" x14ac:dyDescent="0.3"/>
    <row r="35" spans="2:2" ht="14.25" customHeight="1" x14ac:dyDescent="0.3"/>
    <row r="36" spans="2:2" ht="14.25" customHeight="1" x14ac:dyDescent="0.3"/>
    <row r="37" spans="2:2" ht="14.25" customHeight="1" x14ac:dyDescent="0.3"/>
    <row r="38" spans="2:2" ht="14.25" customHeight="1" x14ac:dyDescent="0.3"/>
    <row r="39" spans="2:2" ht="14.25" customHeight="1" x14ac:dyDescent="0.3"/>
    <row r="40" spans="2:2" ht="14.25" customHeight="1" x14ac:dyDescent="0.3"/>
    <row r="41" spans="2:2" ht="14.25" customHeight="1" x14ac:dyDescent="0.3"/>
    <row r="42" spans="2:2" ht="14.25" customHeight="1" x14ac:dyDescent="0.3"/>
    <row r="43" spans="2:2" ht="14.25" customHeight="1" x14ac:dyDescent="0.3"/>
    <row r="44" spans="2:2" ht="14.25" customHeight="1" x14ac:dyDescent="0.3"/>
    <row r="45" spans="2:2" ht="14.25" customHeight="1" x14ac:dyDescent="0.3"/>
    <row r="46" spans="2:2" ht="14.25" customHeight="1" x14ac:dyDescent="0.3"/>
    <row r="47" spans="2:2" ht="14.25" customHeight="1" x14ac:dyDescent="0.3"/>
    <row r="48" spans="2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B1:B1000"/>
  <sheetViews>
    <sheetView showGridLines="0" workbookViewId="0"/>
  </sheetViews>
  <sheetFormatPr baseColWidth="10" defaultColWidth="14.44140625" defaultRowHeight="15" customHeight="1" x14ac:dyDescent="0.3"/>
  <cols>
    <col min="1" max="1" width="3" customWidth="1"/>
    <col min="2" max="2" width="100" customWidth="1"/>
    <col min="3" max="26" width="8.88671875" customWidth="1"/>
  </cols>
  <sheetData>
    <row r="1" spans="2:2" ht="14.25" customHeight="1" x14ac:dyDescent="0.3"/>
    <row r="2" spans="2:2" ht="14.25" customHeight="1" x14ac:dyDescent="0.3">
      <c r="B2" s="1" t="s">
        <v>0</v>
      </c>
    </row>
    <row r="3" spans="2:2" ht="14.25" customHeight="1" x14ac:dyDescent="0.3"/>
    <row r="4" spans="2:2" ht="14.25" customHeight="1" x14ac:dyDescent="0.3">
      <c r="B4" s="4" t="s">
        <v>4</v>
      </c>
    </row>
    <row r="5" spans="2:2" ht="14.25" customHeight="1" x14ac:dyDescent="0.3">
      <c r="B5" s="7" t="s">
        <v>8</v>
      </c>
    </row>
    <row r="6" spans="2:2" ht="14.25" customHeight="1" x14ac:dyDescent="0.3">
      <c r="B6" s="7" t="s">
        <v>10</v>
      </c>
    </row>
    <row r="7" spans="2:2" ht="14.25" customHeight="1" x14ac:dyDescent="0.3">
      <c r="B7" s="7" t="s">
        <v>12</v>
      </c>
    </row>
    <row r="8" spans="2:2" ht="14.25" customHeight="1" x14ac:dyDescent="0.3">
      <c r="B8" s="7" t="s">
        <v>13</v>
      </c>
    </row>
    <row r="9" spans="2:2" ht="14.25" customHeight="1" x14ac:dyDescent="0.3">
      <c r="B9" s="7" t="s">
        <v>15</v>
      </c>
    </row>
    <row r="10" spans="2:2" ht="14.25" customHeight="1" x14ac:dyDescent="0.3">
      <c r="B10" s="7" t="s">
        <v>16</v>
      </c>
    </row>
    <row r="11" spans="2:2" ht="14.25" customHeight="1" x14ac:dyDescent="0.3">
      <c r="B11" s="7" t="s">
        <v>19</v>
      </c>
    </row>
    <row r="12" spans="2:2" ht="14.25" customHeight="1" x14ac:dyDescent="0.3">
      <c r="B12" s="7" t="s">
        <v>21</v>
      </c>
    </row>
    <row r="13" spans="2:2" ht="14.25" customHeight="1" x14ac:dyDescent="0.3">
      <c r="B13" s="7" t="s">
        <v>23</v>
      </c>
    </row>
    <row r="14" spans="2:2" ht="14.25" customHeight="1" x14ac:dyDescent="0.3">
      <c r="B14" s="7" t="s">
        <v>26</v>
      </c>
    </row>
    <row r="15" spans="2:2" ht="14.25" customHeight="1" x14ac:dyDescent="0.3"/>
    <row r="16" spans="2:2" ht="14.25" customHeight="1" x14ac:dyDescent="0.3">
      <c r="B16" s="4" t="s">
        <v>28</v>
      </c>
    </row>
    <row r="17" spans="2:2" ht="14.25" customHeight="1" x14ac:dyDescent="0.3">
      <c r="B17" s="7" t="s">
        <v>31</v>
      </c>
    </row>
    <row r="18" spans="2:2" ht="14.25" customHeight="1" x14ac:dyDescent="0.3">
      <c r="B18" s="7" t="s">
        <v>34</v>
      </c>
    </row>
    <row r="19" spans="2:2" ht="14.25" customHeight="1" x14ac:dyDescent="0.3">
      <c r="B19" s="7" t="s">
        <v>36</v>
      </c>
    </row>
    <row r="20" spans="2:2" ht="14.25" customHeight="1" x14ac:dyDescent="0.3">
      <c r="B20" s="7" t="s">
        <v>39</v>
      </c>
    </row>
    <row r="21" spans="2:2" ht="14.25" customHeight="1" x14ac:dyDescent="0.3">
      <c r="B21" s="7" t="s">
        <v>42</v>
      </c>
    </row>
    <row r="22" spans="2:2" ht="14.25" customHeight="1" x14ac:dyDescent="0.3">
      <c r="B22" s="7" t="s">
        <v>46</v>
      </c>
    </row>
    <row r="23" spans="2:2" ht="14.25" customHeight="1" x14ac:dyDescent="0.3">
      <c r="B23" s="7" t="s">
        <v>51</v>
      </c>
    </row>
    <row r="24" spans="2:2" ht="14.25" customHeight="1" x14ac:dyDescent="0.3">
      <c r="B24" s="7" t="s">
        <v>53</v>
      </c>
    </row>
    <row r="25" spans="2:2" ht="14.25" customHeight="1" x14ac:dyDescent="0.3">
      <c r="B25" s="7" t="s">
        <v>57</v>
      </c>
    </row>
    <row r="26" spans="2:2" ht="14.25" customHeight="1" x14ac:dyDescent="0.3">
      <c r="B26" s="7" t="s">
        <v>60</v>
      </c>
    </row>
    <row r="27" spans="2:2" ht="14.25" customHeight="1" x14ac:dyDescent="0.3">
      <c r="B27" s="7" t="s">
        <v>63</v>
      </c>
    </row>
    <row r="28" spans="2:2" ht="14.25" customHeight="1" x14ac:dyDescent="0.3">
      <c r="B28" s="7" t="s">
        <v>64</v>
      </c>
    </row>
    <row r="29" spans="2:2" ht="14.25" customHeight="1" x14ac:dyDescent="0.3">
      <c r="B29" s="7" t="s">
        <v>65</v>
      </c>
    </row>
    <row r="30" spans="2:2" ht="14.25" customHeight="1" x14ac:dyDescent="0.3"/>
    <row r="31" spans="2:2" ht="14.25" customHeight="1" x14ac:dyDescent="0.3">
      <c r="B31" s="4" t="s">
        <v>67</v>
      </c>
    </row>
    <row r="32" spans="2:2" ht="14.25" customHeight="1" x14ac:dyDescent="0.3">
      <c r="B32" s="19" t="s">
        <v>70</v>
      </c>
    </row>
    <row r="33" spans="2:2" ht="14.25" customHeight="1" x14ac:dyDescent="0.3">
      <c r="B33" s="21" t="s">
        <v>83</v>
      </c>
    </row>
    <row r="34" spans="2:2" ht="14.25" customHeight="1" x14ac:dyDescent="0.3">
      <c r="B34" s="23" t="s">
        <v>89</v>
      </c>
    </row>
    <row r="35" spans="2:2" ht="14.25" customHeight="1" x14ac:dyDescent="0.3">
      <c r="B35" s="26" t="s">
        <v>94</v>
      </c>
    </row>
    <row r="36" spans="2:2" ht="14.25" customHeight="1" x14ac:dyDescent="0.3"/>
    <row r="37" spans="2:2" ht="14.25" customHeight="1" x14ac:dyDescent="0.3">
      <c r="B37" s="4" t="s">
        <v>97</v>
      </c>
    </row>
    <row r="38" spans="2:2" ht="14.25" customHeight="1" x14ac:dyDescent="0.3">
      <c r="B38" s="27" t="s">
        <v>98</v>
      </c>
    </row>
    <row r="39" spans="2:2" ht="14.25" customHeight="1" x14ac:dyDescent="0.3">
      <c r="B39" s="7" t="s">
        <v>101</v>
      </c>
    </row>
    <row r="40" spans="2:2" ht="14.25" customHeight="1" x14ac:dyDescent="0.3">
      <c r="B40" s="7" t="s">
        <v>104</v>
      </c>
    </row>
    <row r="41" spans="2:2" ht="14.25" customHeight="1" x14ac:dyDescent="0.3">
      <c r="B41" s="7" t="s">
        <v>106</v>
      </c>
    </row>
    <row r="42" spans="2:2" ht="14.25" customHeight="1" x14ac:dyDescent="0.3">
      <c r="B42" s="7" t="s">
        <v>108</v>
      </c>
    </row>
    <row r="43" spans="2:2" ht="14.25" customHeight="1" x14ac:dyDescent="0.3">
      <c r="B43" s="7" t="s">
        <v>109</v>
      </c>
    </row>
    <row r="44" spans="2:2" ht="14.25" customHeight="1" x14ac:dyDescent="0.3">
      <c r="B44" s="7" t="s">
        <v>111</v>
      </c>
    </row>
    <row r="45" spans="2:2" ht="14.25" customHeight="1" x14ac:dyDescent="0.3">
      <c r="B45" s="7" t="s">
        <v>113</v>
      </c>
    </row>
    <row r="46" spans="2:2" ht="14.25" customHeight="1" x14ac:dyDescent="0.3">
      <c r="B46" s="7" t="s">
        <v>116</v>
      </c>
    </row>
    <row r="47" spans="2:2" ht="14.25" customHeight="1" x14ac:dyDescent="0.3">
      <c r="B47" s="7" t="s">
        <v>117</v>
      </c>
    </row>
    <row r="48" spans="2:2" ht="14.25" customHeight="1" x14ac:dyDescent="0.3">
      <c r="B48" s="7"/>
    </row>
    <row r="49" spans="2:2" ht="14.25" customHeight="1" x14ac:dyDescent="0.3">
      <c r="B49" s="7" t="s">
        <v>118</v>
      </c>
    </row>
    <row r="50" spans="2:2" ht="14.25" customHeight="1" x14ac:dyDescent="0.3">
      <c r="B50" s="7" t="s">
        <v>119</v>
      </c>
    </row>
    <row r="51" spans="2:2" ht="14.25" customHeight="1" x14ac:dyDescent="0.3">
      <c r="B51" s="7" t="s">
        <v>121</v>
      </c>
    </row>
    <row r="52" spans="2:2" ht="14.25" customHeight="1" x14ac:dyDescent="0.3">
      <c r="B52" s="7" t="s">
        <v>122</v>
      </c>
    </row>
    <row r="53" spans="2:2" ht="14.25" customHeight="1" x14ac:dyDescent="0.3">
      <c r="B53" s="7"/>
    </row>
    <row r="54" spans="2:2" ht="14.25" customHeight="1" x14ac:dyDescent="0.3">
      <c r="B54" s="7" t="s">
        <v>124</v>
      </c>
    </row>
    <row r="55" spans="2:2" ht="14.25" customHeight="1" x14ac:dyDescent="0.3">
      <c r="B55" s="7" t="s">
        <v>125</v>
      </c>
    </row>
    <row r="56" spans="2:2" ht="14.25" customHeight="1" x14ac:dyDescent="0.3">
      <c r="B56" s="7" t="s">
        <v>126</v>
      </c>
    </row>
    <row r="57" spans="2:2" ht="14.25" customHeight="1" x14ac:dyDescent="0.3">
      <c r="B57" s="7" t="s">
        <v>127</v>
      </c>
    </row>
    <row r="58" spans="2:2" ht="14.25" customHeight="1" x14ac:dyDescent="0.3"/>
    <row r="59" spans="2:2" ht="14.25" customHeight="1" x14ac:dyDescent="0.3">
      <c r="B59" s="4" t="s">
        <v>129</v>
      </c>
    </row>
    <row r="60" spans="2:2" ht="14.25" customHeight="1" x14ac:dyDescent="0.3">
      <c r="B60" s="7" t="s">
        <v>131</v>
      </c>
    </row>
    <row r="61" spans="2:2" ht="14.25" customHeight="1" x14ac:dyDescent="0.3">
      <c r="B61" s="7" t="s">
        <v>133</v>
      </c>
    </row>
    <row r="62" spans="2:2" ht="14.25" customHeight="1" x14ac:dyDescent="0.3">
      <c r="B62" s="7" t="s">
        <v>136</v>
      </c>
    </row>
    <row r="63" spans="2:2" ht="14.25" customHeight="1" x14ac:dyDescent="0.3">
      <c r="B63" s="7" t="s">
        <v>138</v>
      </c>
    </row>
    <row r="64" spans="2:2" ht="14.25" customHeight="1" x14ac:dyDescent="0.3">
      <c r="B64" s="7" t="s">
        <v>140</v>
      </c>
    </row>
    <row r="65" spans="2:2" ht="14.25" customHeight="1" x14ac:dyDescent="0.3">
      <c r="B65" s="7" t="s">
        <v>143</v>
      </c>
    </row>
    <row r="66" spans="2:2" ht="14.25" customHeight="1" x14ac:dyDescent="0.3">
      <c r="B66" s="7" t="s">
        <v>144</v>
      </c>
    </row>
    <row r="67" spans="2:2" ht="14.25" customHeight="1" x14ac:dyDescent="0.3"/>
    <row r="68" spans="2:2" ht="14.25" customHeight="1" x14ac:dyDescent="0.3">
      <c r="B68" s="32" t="s">
        <v>145</v>
      </c>
    </row>
    <row r="69" spans="2:2" ht="14.25" customHeight="1" x14ac:dyDescent="0.3">
      <c r="B69" s="7" t="s">
        <v>146</v>
      </c>
    </row>
    <row r="70" spans="2:2" ht="14.25" customHeight="1" x14ac:dyDescent="0.3">
      <c r="B70" s="7" t="s">
        <v>147</v>
      </c>
    </row>
    <row r="71" spans="2:2" ht="14.25" customHeight="1" x14ac:dyDescent="0.3">
      <c r="B71" s="7" t="s">
        <v>149</v>
      </c>
    </row>
    <row r="72" spans="2:2" ht="14.25" customHeight="1" x14ac:dyDescent="0.3">
      <c r="B72" s="7" t="s">
        <v>150</v>
      </c>
    </row>
    <row r="73" spans="2:2" ht="14.25" customHeight="1" x14ac:dyDescent="0.3">
      <c r="B73" s="7" t="s">
        <v>151</v>
      </c>
    </row>
    <row r="74" spans="2:2" ht="14.25" customHeight="1" x14ac:dyDescent="0.3">
      <c r="B74" s="7" t="s">
        <v>152</v>
      </c>
    </row>
    <row r="75" spans="2:2" ht="14.25" customHeight="1" x14ac:dyDescent="0.3">
      <c r="B75" s="7" t="s">
        <v>153</v>
      </c>
    </row>
    <row r="76" spans="2:2" ht="14.25" customHeight="1" x14ac:dyDescent="0.3">
      <c r="B76" s="7" t="s">
        <v>154</v>
      </c>
    </row>
    <row r="77" spans="2:2" ht="14.25" customHeight="1" x14ac:dyDescent="0.3">
      <c r="B77" s="7" t="s">
        <v>155</v>
      </c>
    </row>
    <row r="78" spans="2:2" ht="14.25" customHeight="1" x14ac:dyDescent="0.3">
      <c r="B78" s="7" t="s">
        <v>156</v>
      </c>
    </row>
    <row r="79" spans="2:2" ht="14.25" customHeight="1" x14ac:dyDescent="0.3">
      <c r="B79" s="7" t="s">
        <v>157</v>
      </c>
    </row>
    <row r="80" spans="2:2" ht="14.25" customHeight="1" x14ac:dyDescent="0.3">
      <c r="B80" s="7" t="s">
        <v>159</v>
      </c>
    </row>
    <row r="81" spans="2:2" ht="14.25" customHeight="1" x14ac:dyDescent="0.3">
      <c r="B81" s="7" t="s">
        <v>162</v>
      </c>
    </row>
    <row r="82" spans="2:2" ht="14.25" customHeight="1" x14ac:dyDescent="0.3">
      <c r="B82" s="7" t="s">
        <v>163</v>
      </c>
    </row>
    <row r="83" spans="2:2" ht="14.25" customHeight="1" x14ac:dyDescent="0.3">
      <c r="B83" s="7" t="s">
        <v>164</v>
      </c>
    </row>
    <row r="84" spans="2:2" ht="14.25" customHeight="1" x14ac:dyDescent="0.3">
      <c r="B84" s="7" t="s">
        <v>165</v>
      </c>
    </row>
    <row r="85" spans="2:2" ht="14.25" customHeight="1" x14ac:dyDescent="0.3">
      <c r="B85" s="7" t="s">
        <v>166</v>
      </c>
    </row>
    <row r="86" spans="2:2" ht="14.25" customHeight="1" x14ac:dyDescent="0.3">
      <c r="B86" s="7" t="s">
        <v>167</v>
      </c>
    </row>
    <row r="87" spans="2:2" ht="14.25" customHeight="1" x14ac:dyDescent="0.3">
      <c r="B87" s="7" t="s">
        <v>168</v>
      </c>
    </row>
    <row r="88" spans="2:2" ht="14.25" customHeight="1" x14ac:dyDescent="0.3">
      <c r="B88" s="7" t="s">
        <v>170</v>
      </c>
    </row>
    <row r="89" spans="2:2" ht="14.25" customHeight="1" x14ac:dyDescent="0.3">
      <c r="B89" s="7" t="s">
        <v>171</v>
      </c>
    </row>
    <row r="90" spans="2:2" ht="14.25" customHeight="1" x14ac:dyDescent="0.3"/>
    <row r="91" spans="2:2" ht="14.25" customHeight="1" x14ac:dyDescent="0.3">
      <c r="B91" s="4" t="s">
        <v>172</v>
      </c>
    </row>
    <row r="92" spans="2:2" ht="14.25" customHeight="1" x14ac:dyDescent="0.3">
      <c r="B92" s="7" t="s">
        <v>173</v>
      </c>
    </row>
    <row r="93" spans="2:2" ht="14.25" customHeight="1" x14ac:dyDescent="0.3">
      <c r="B93" s="7" t="s">
        <v>174</v>
      </c>
    </row>
    <row r="94" spans="2:2" ht="14.25" customHeight="1" x14ac:dyDescent="0.3">
      <c r="B94" s="7" t="s">
        <v>175</v>
      </c>
    </row>
    <row r="95" spans="2:2" ht="14.25" customHeight="1" x14ac:dyDescent="0.3">
      <c r="B95" s="7" t="s">
        <v>176</v>
      </c>
    </row>
    <row r="96" spans="2:2" ht="14.25" customHeight="1" x14ac:dyDescent="0.3">
      <c r="B96" s="7" t="s">
        <v>177</v>
      </c>
    </row>
    <row r="97" spans="2:2" ht="14.25" customHeight="1" x14ac:dyDescent="0.3">
      <c r="B97" s="7" t="s">
        <v>178</v>
      </c>
    </row>
    <row r="98" spans="2:2" ht="14.25" customHeight="1" x14ac:dyDescent="0.3"/>
    <row r="99" spans="2:2" ht="14.25" customHeight="1" x14ac:dyDescent="0.3"/>
    <row r="100" spans="2:2" ht="14.25" customHeight="1" x14ac:dyDescent="0.3"/>
    <row r="101" spans="2:2" ht="14.25" customHeight="1" x14ac:dyDescent="0.3"/>
    <row r="102" spans="2:2" ht="14.25" customHeight="1" x14ac:dyDescent="0.3"/>
    <row r="103" spans="2:2" ht="14.25" customHeight="1" x14ac:dyDescent="0.3"/>
    <row r="104" spans="2:2" ht="14.25" customHeight="1" x14ac:dyDescent="0.3"/>
    <row r="105" spans="2:2" ht="14.25" customHeight="1" x14ac:dyDescent="0.3"/>
    <row r="106" spans="2:2" ht="14.25" customHeight="1" x14ac:dyDescent="0.3"/>
    <row r="107" spans="2:2" ht="14.25" customHeight="1" x14ac:dyDescent="0.3"/>
    <row r="108" spans="2:2" ht="14.25" customHeight="1" x14ac:dyDescent="0.3"/>
    <row r="109" spans="2:2" ht="14.25" customHeight="1" x14ac:dyDescent="0.3"/>
    <row r="110" spans="2:2" ht="14.25" customHeight="1" x14ac:dyDescent="0.3"/>
    <row r="111" spans="2:2" ht="14.25" customHeight="1" x14ac:dyDescent="0.3"/>
    <row r="112" spans="2: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H1000"/>
  <sheetViews>
    <sheetView showGridLines="0" workbookViewId="0"/>
  </sheetViews>
  <sheetFormatPr baseColWidth="10" defaultColWidth="14.44140625" defaultRowHeight="15" customHeight="1" x14ac:dyDescent="0.3"/>
  <cols>
    <col min="1" max="1" width="58" customWidth="1"/>
    <col min="2" max="3" width="16" customWidth="1"/>
    <col min="4" max="4" width="40" customWidth="1"/>
    <col min="5" max="6" width="14" customWidth="1"/>
    <col min="7" max="26" width="8.88671875" customWidth="1"/>
  </cols>
  <sheetData>
    <row r="1" spans="1:8" ht="14.25" customHeight="1" x14ac:dyDescent="0.35">
      <c r="A1" s="136" t="s">
        <v>3</v>
      </c>
      <c r="B1" s="134"/>
      <c r="C1" s="134"/>
      <c r="D1" s="134"/>
    </row>
    <row r="2" spans="1:8" ht="14.25" customHeight="1" x14ac:dyDescent="0.3">
      <c r="A2" s="5" t="s">
        <v>7</v>
      </c>
    </row>
    <row r="3" spans="1:8" ht="14.25" customHeight="1" x14ac:dyDescent="0.3"/>
    <row r="4" spans="1:8" ht="14.25" customHeight="1" x14ac:dyDescent="0.3">
      <c r="A4" s="130" t="s">
        <v>9</v>
      </c>
      <c r="B4" s="131"/>
      <c r="C4" s="131"/>
      <c r="D4" s="132"/>
    </row>
    <row r="5" spans="1:8" ht="14.25" customHeight="1" x14ac:dyDescent="0.3">
      <c r="A5" s="12" t="s">
        <v>30</v>
      </c>
      <c r="B5" s="14">
        <v>46272</v>
      </c>
    </row>
    <row r="6" spans="1:8" ht="14.25" customHeight="1" x14ac:dyDescent="0.3">
      <c r="A6" s="12" t="s">
        <v>48</v>
      </c>
      <c r="B6" s="12">
        <v>37</v>
      </c>
    </row>
    <row r="7" spans="1:8" ht="14.25" customHeight="1" x14ac:dyDescent="0.3">
      <c r="A7" s="12" t="s">
        <v>56</v>
      </c>
      <c r="B7" s="12">
        <v>7</v>
      </c>
    </row>
    <row r="8" spans="1:8" ht="14.25" customHeight="1" x14ac:dyDescent="0.3">
      <c r="A8" s="12" t="s">
        <v>62</v>
      </c>
      <c r="B8" s="12">
        <f>ROUNDUP(B7/7,0)</f>
        <v>1</v>
      </c>
    </row>
    <row r="9" spans="1:8" ht="14.25" customHeight="1" x14ac:dyDescent="0.3"/>
    <row r="10" spans="1:8" ht="14.25" customHeight="1" x14ac:dyDescent="0.3">
      <c r="A10" s="130" t="s">
        <v>103</v>
      </c>
      <c r="B10" s="131"/>
      <c r="C10" s="131"/>
      <c r="D10" s="132"/>
    </row>
    <row r="11" spans="1:8" ht="14.25" customHeight="1" x14ac:dyDescent="0.3">
      <c r="A11" s="12" t="s">
        <v>114</v>
      </c>
      <c r="B11" s="30">
        <v>19669.46</v>
      </c>
      <c r="D11" s="31" t="s">
        <v>120</v>
      </c>
    </row>
    <row r="12" spans="1:8" ht="14.25" customHeight="1" x14ac:dyDescent="0.3"/>
    <row r="13" spans="1:8" ht="14.25" customHeight="1" x14ac:dyDescent="0.3">
      <c r="A13" s="130" t="s">
        <v>123</v>
      </c>
      <c r="B13" s="131"/>
      <c r="C13" s="131"/>
      <c r="D13" s="132"/>
    </row>
    <row r="14" spans="1:8" ht="14.25" customHeight="1" x14ac:dyDescent="0.3">
      <c r="A14" s="9" t="s">
        <v>128</v>
      </c>
      <c r="B14" s="9" t="s">
        <v>130</v>
      </c>
      <c r="C14" s="9" t="s">
        <v>132</v>
      </c>
      <c r="D14" s="9" t="s">
        <v>134</v>
      </c>
      <c r="E14" s="9" t="s">
        <v>135</v>
      </c>
      <c r="F14" s="9" t="s">
        <v>137</v>
      </c>
      <c r="G14" s="9" t="s">
        <v>139</v>
      </c>
      <c r="H14" s="9" t="s">
        <v>141</v>
      </c>
    </row>
    <row r="15" spans="1:8" ht="14.25" customHeight="1" x14ac:dyDescent="0.3">
      <c r="A15" s="12" t="s">
        <v>142</v>
      </c>
      <c r="B15" s="13">
        <v>26459.26</v>
      </c>
      <c r="C15" s="35">
        <f>B15/4.345</f>
        <v>6089.5880322209432</v>
      </c>
      <c r="D15" s="31" t="s">
        <v>160</v>
      </c>
      <c r="E15" s="13">
        <f>+B15*0.1</f>
        <v>2645.9259999999999</v>
      </c>
      <c r="F15" s="13">
        <f>+B15*0.3</f>
        <v>7937.7779999999993</v>
      </c>
      <c r="G15" s="13">
        <f>+B15*0.4</f>
        <v>10583.704</v>
      </c>
      <c r="H15" s="13">
        <f>+B15*0.2</f>
        <v>5291.8519999999999</v>
      </c>
    </row>
    <row r="16" spans="1:8" ht="14.25" customHeight="1" x14ac:dyDescent="0.3"/>
    <row r="17" spans="1:4" ht="14.25" customHeight="1" x14ac:dyDescent="0.3">
      <c r="A17" s="130" t="s">
        <v>181</v>
      </c>
      <c r="B17" s="131"/>
      <c r="C17" s="131"/>
      <c r="D17" s="132"/>
    </row>
    <row r="18" spans="1:4" ht="14.25" customHeight="1" x14ac:dyDescent="0.3">
      <c r="A18" s="9" t="s">
        <v>182</v>
      </c>
      <c r="B18" s="9" t="s">
        <v>130</v>
      </c>
      <c r="C18" s="9" t="s">
        <v>132</v>
      </c>
      <c r="D18" s="9" t="s">
        <v>134</v>
      </c>
    </row>
    <row r="19" spans="1:4" ht="14.25" customHeight="1" x14ac:dyDescent="0.3">
      <c r="A19" s="12" t="s">
        <v>183</v>
      </c>
      <c r="B19" s="13">
        <v>3268.57</v>
      </c>
      <c r="C19" s="35">
        <f t="shared" ref="C19:C24" si="0">B19/4.345</f>
        <v>752.26006904487929</v>
      </c>
      <c r="D19" s="31" t="s">
        <v>184</v>
      </c>
    </row>
    <row r="20" spans="1:4" ht="14.25" customHeight="1" x14ac:dyDescent="0.3">
      <c r="A20" s="12" t="s">
        <v>185</v>
      </c>
      <c r="B20" s="13">
        <v>7099.53</v>
      </c>
      <c r="C20" s="35">
        <f t="shared" si="0"/>
        <v>1633.9539700805524</v>
      </c>
      <c r="D20" s="31" t="s">
        <v>187</v>
      </c>
    </row>
    <row r="21" spans="1:4" ht="14.25" customHeight="1" x14ac:dyDescent="0.3">
      <c r="A21" s="12" t="s">
        <v>188</v>
      </c>
      <c r="B21" s="13">
        <v>3318.25</v>
      </c>
      <c r="C21" s="35">
        <f t="shared" si="0"/>
        <v>763.69390103567321</v>
      </c>
      <c r="D21" s="31" t="s">
        <v>189</v>
      </c>
    </row>
    <row r="22" spans="1:4" ht="14.25" customHeight="1" x14ac:dyDescent="0.3">
      <c r="A22" s="12" t="s">
        <v>190</v>
      </c>
      <c r="B22" s="13">
        <v>1081.5</v>
      </c>
      <c r="C22" s="35">
        <f t="shared" si="0"/>
        <v>248.90678941311853</v>
      </c>
      <c r="D22" s="31" t="s">
        <v>191</v>
      </c>
    </row>
    <row r="23" spans="1:4" ht="14.25" customHeight="1" x14ac:dyDescent="0.3">
      <c r="A23" s="12" t="s">
        <v>192</v>
      </c>
      <c r="B23" s="13">
        <v>275</v>
      </c>
      <c r="C23" s="35">
        <f t="shared" si="0"/>
        <v>63.291139240506332</v>
      </c>
      <c r="D23" s="31" t="s">
        <v>193</v>
      </c>
    </row>
    <row r="24" spans="1:4" ht="14.25" customHeight="1" x14ac:dyDescent="0.3">
      <c r="A24" s="12" t="s">
        <v>194</v>
      </c>
      <c r="B24" s="13">
        <v>1547.51</v>
      </c>
      <c r="C24" s="35">
        <f t="shared" si="0"/>
        <v>356.15880322209438</v>
      </c>
      <c r="D24" s="31" t="s">
        <v>195</v>
      </c>
    </row>
    <row r="25" spans="1:4" ht="14.25" customHeight="1" x14ac:dyDescent="0.3">
      <c r="A25" s="37" t="s">
        <v>196</v>
      </c>
      <c r="B25" s="38">
        <f t="shared" ref="B25:C25" si="1">SUM(B19:B24)</f>
        <v>16590.36</v>
      </c>
      <c r="C25" s="38">
        <f t="shared" si="1"/>
        <v>3818.2646720368239</v>
      </c>
    </row>
    <row r="26" spans="1:4" ht="14.25" customHeight="1" x14ac:dyDescent="0.3"/>
    <row r="27" spans="1:4" ht="14.25" customHeight="1" x14ac:dyDescent="0.3">
      <c r="A27" s="130" t="s">
        <v>197</v>
      </c>
      <c r="B27" s="131"/>
      <c r="C27" s="131"/>
      <c r="D27" s="132"/>
    </row>
    <row r="28" spans="1:4" ht="14.25" customHeight="1" x14ac:dyDescent="0.3">
      <c r="A28" s="12" t="s">
        <v>199</v>
      </c>
      <c r="B28" s="35">
        <f>1.5*B25</f>
        <v>24885.54</v>
      </c>
    </row>
    <row r="29" spans="1:4" ht="14.25" customHeight="1" x14ac:dyDescent="0.3"/>
    <row r="30" spans="1:4" ht="14.25" customHeight="1" x14ac:dyDescent="0.3">
      <c r="A30" s="130" t="s">
        <v>202</v>
      </c>
      <c r="B30" s="131"/>
      <c r="C30" s="131"/>
      <c r="D30" s="132"/>
    </row>
    <row r="31" spans="1:4" ht="14.25" customHeight="1" x14ac:dyDescent="0.3">
      <c r="A31" s="9" t="s">
        <v>204</v>
      </c>
      <c r="B31" s="9" t="s">
        <v>205</v>
      </c>
      <c r="C31" s="9"/>
      <c r="D31" s="9" t="s">
        <v>134</v>
      </c>
    </row>
    <row r="32" spans="1:4" ht="14.25" customHeight="1" x14ac:dyDescent="0.3">
      <c r="A32" s="12" t="s">
        <v>206</v>
      </c>
      <c r="B32" s="13">
        <v>2784</v>
      </c>
      <c r="D32" s="31"/>
    </row>
    <row r="33" spans="1:4" ht="14.25" customHeight="1" x14ac:dyDescent="0.3">
      <c r="A33" s="12" t="s">
        <v>207</v>
      </c>
      <c r="B33" s="13">
        <v>15407.28</v>
      </c>
      <c r="D33" s="31"/>
    </row>
    <row r="34" spans="1:4" ht="14.25" customHeight="1" x14ac:dyDescent="0.3">
      <c r="A34" s="12" t="s">
        <v>208</v>
      </c>
      <c r="B34" s="13">
        <v>2677.25</v>
      </c>
      <c r="D34" s="31"/>
    </row>
    <row r="35" spans="1:4" ht="14.25" customHeight="1" x14ac:dyDescent="0.3">
      <c r="A35" s="12" t="s">
        <v>211</v>
      </c>
      <c r="B35" s="13">
        <v>11210</v>
      </c>
      <c r="D35" s="31"/>
    </row>
    <row r="36" spans="1:4" ht="14.25" customHeight="1" x14ac:dyDescent="0.3">
      <c r="A36" s="12" t="s">
        <v>212</v>
      </c>
      <c r="B36" s="13">
        <v>22520</v>
      </c>
      <c r="D36" s="31" t="s">
        <v>213</v>
      </c>
    </row>
    <row r="37" spans="1:4" ht="14.25" customHeight="1" x14ac:dyDescent="0.3">
      <c r="A37" s="12" t="s">
        <v>214</v>
      </c>
      <c r="B37" s="13">
        <v>24480</v>
      </c>
      <c r="D37" s="31" t="s">
        <v>215</v>
      </c>
    </row>
    <row r="38" spans="1:4" ht="14.25" customHeight="1" x14ac:dyDescent="0.3">
      <c r="A38" s="12" t="s">
        <v>218</v>
      </c>
      <c r="B38" s="13">
        <v>36720</v>
      </c>
      <c r="D38" s="31"/>
    </row>
    <row r="39" spans="1:4" ht="14.25" customHeight="1" x14ac:dyDescent="0.3">
      <c r="A39" s="37" t="s">
        <v>219</v>
      </c>
      <c r="B39" s="38">
        <f>SUM(B32:B38)</f>
        <v>115798.53</v>
      </c>
    </row>
    <row r="40" spans="1:4" ht="14.25" customHeight="1" x14ac:dyDescent="0.3"/>
    <row r="41" spans="1:4" ht="14.25" customHeight="1" x14ac:dyDescent="0.3">
      <c r="A41" s="135" t="s">
        <v>221</v>
      </c>
      <c r="B41" s="131"/>
      <c r="C41" s="131"/>
      <c r="D41" s="132"/>
    </row>
    <row r="42" spans="1:4" ht="14.25" customHeight="1" x14ac:dyDescent="0.3">
      <c r="A42" s="133" t="s">
        <v>222</v>
      </c>
      <c r="B42" s="134"/>
      <c r="C42" s="134"/>
      <c r="D42" s="134"/>
    </row>
    <row r="43" spans="1:4" ht="14.25" customHeight="1" x14ac:dyDescent="0.3">
      <c r="A43" s="133" t="s">
        <v>224</v>
      </c>
      <c r="B43" s="134"/>
      <c r="C43" s="134"/>
      <c r="D43" s="134"/>
    </row>
    <row r="44" spans="1:4" ht="14.25" customHeight="1" x14ac:dyDescent="0.3">
      <c r="A44" s="133" t="s">
        <v>225</v>
      </c>
      <c r="B44" s="134"/>
      <c r="C44" s="134"/>
      <c r="D44" s="134"/>
    </row>
    <row r="45" spans="1:4" ht="14.25" customHeight="1" x14ac:dyDescent="0.3">
      <c r="A45" s="133" t="s">
        <v>227</v>
      </c>
      <c r="B45" s="134"/>
      <c r="C45" s="134"/>
      <c r="D45" s="134"/>
    </row>
    <row r="46" spans="1:4" ht="14.25" customHeight="1" x14ac:dyDescent="0.3">
      <c r="A46" s="133" t="s">
        <v>228</v>
      </c>
      <c r="B46" s="134"/>
      <c r="C46" s="134"/>
      <c r="D46" s="134"/>
    </row>
    <row r="47" spans="1:4" ht="14.25" customHeight="1" x14ac:dyDescent="0.3">
      <c r="A47" s="133" t="s">
        <v>229</v>
      </c>
      <c r="B47" s="134"/>
      <c r="C47" s="134"/>
      <c r="D47" s="134"/>
    </row>
    <row r="48" spans="1:4" ht="14.25" customHeight="1" x14ac:dyDescent="0.3">
      <c r="A48" s="133" t="s">
        <v>232</v>
      </c>
      <c r="B48" s="134"/>
      <c r="C48" s="134"/>
      <c r="D48" s="134"/>
    </row>
    <row r="49" spans="1:4" ht="14.25" customHeight="1" x14ac:dyDescent="0.3">
      <c r="A49" s="133" t="s">
        <v>233</v>
      </c>
      <c r="B49" s="134"/>
      <c r="C49" s="134"/>
      <c r="D49" s="134"/>
    </row>
    <row r="50" spans="1:4" ht="14.25" customHeight="1" x14ac:dyDescent="0.3"/>
    <row r="51" spans="1:4" ht="14.25" customHeight="1" x14ac:dyDescent="0.3"/>
    <row r="52" spans="1:4" ht="14.25" customHeight="1" x14ac:dyDescent="0.3"/>
    <row r="53" spans="1:4" ht="14.25" customHeight="1" x14ac:dyDescent="0.3"/>
    <row r="54" spans="1:4" ht="14.25" customHeight="1" x14ac:dyDescent="0.3"/>
    <row r="55" spans="1:4" ht="14.25" customHeight="1" x14ac:dyDescent="0.3"/>
    <row r="56" spans="1:4" ht="14.25" customHeight="1" x14ac:dyDescent="0.3"/>
    <row r="57" spans="1:4" ht="14.25" customHeight="1" x14ac:dyDescent="0.3"/>
    <row r="58" spans="1:4" ht="14.25" customHeight="1" x14ac:dyDescent="0.3"/>
    <row r="59" spans="1:4" ht="14.25" customHeight="1" x14ac:dyDescent="0.3"/>
    <row r="60" spans="1:4" ht="14.25" customHeight="1" x14ac:dyDescent="0.3"/>
    <row r="61" spans="1:4" ht="14.25" customHeight="1" x14ac:dyDescent="0.3"/>
    <row r="62" spans="1:4" ht="14.25" customHeight="1" x14ac:dyDescent="0.3"/>
    <row r="63" spans="1:4" ht="14.25" customHeight="1" x14ac:dyDescent="0.3"/>
    <row r="64" spans="1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6">
    <mergeCell ref="A1:D1"/>
    <mergeCell ref="A4:D4"/>
    <mergeCell ref="A10:D10"/>
    <mergeCell ref="A13:D13"/>
    <mergeCell ref="A17:D17"/>
    <mergeCell ref="A27:D27"/>
    <mergeCell ref="A30:D30"/>
    <mergeCell ref="A48:D48"/>
    <mergeCell ref="A49:D49"/>
    <mergeCell ref="A41:D41"/>
    <mergeCell ref="A42:D42"/>
    <mergeCell ref="A43:D43"/>
    <mergeCell ref="A44:D44"/>
    <mergeCell ref="A45:D45"/>
    <mergeCell ref="A46:D46"/>
    <mergeCell ref="A47:D47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A1003"/>
  <sheetViews>
    <sheetView showGridLines="0" zoomScaleNormal="100" workbookViewId="0">
      <pane xSplit="2" ySplit="5" topLeftCell="G9" activePane="bottomRight" state="frozen"/>
      <selection pane="topRight"/>
      <selection pane="bottomLeft"/>
      <selection pane="bottomRight"/>
    </sheetView>
  </sheetViews>
  <sheetFormatPr baseColWidth="10" defaultColWidth="14.44140625" defaultRowHeight="15" customHeight="1" x14ac:dyDescent="0.3"/>
  <cols>
    <col min="1" max="1" width="48.88671875" customWidth="1"/>
    <col min="2" max="2" width="14" customWidth="1"/>
    <col min="3" max="3" width="13.109375" customWidth="1"/>
    <col min="4" max="19" width="12.44140625" customWidth="1"/>
    <col min="20" max="20" width="14" customWidth="1"/>
    <col min="21" max="21" width="12.5546875" customWidth="1"/>
    <col min="22" max="27" width="8.88671875" customWidth="1"/>
  </cols>
  <sheetData>
    <row r="1" spans="1:27" ht="14.25" customHeight="1" x14ac:dyDescent="0.35">
      <c r="A1" s="3" t="s">
        <v>2</v>
      </c>
    </row>
    <row r="2" spans="1:27" ht="14.25" customHeight="1" x14ac:dyDescent="0.3">
      <c r="A2" s="6" t="s">
        <v>6</v>
      </c>
    </row>
    <row r="3" spans="1:27" ht="14.25" customHeight="1" x14ac:dyDescent="0.3"/>
    <row r="4" spans="1:27" ht="14.25" customHeight="1" x14ac:dyDescent="0.3">
      <c r="A4" s="9" t="s">
        <v>11</v>
      </c>
      <c r="B4" s="9" t="s">
        <v>18</v>
      </c>
      <c r="C4" s="69" t="s">
        <v>292</v>
      </c>
      <c r="D4" s="9" t="s">
        <v>20</v>
      </c>
      <c r="E4" s="9" t="s">
        <v>22</v>
      </c>
      <c r="F4" s="9" t="s">
        <v>24</v>
      </c>
      <c r="G4" s="9" t="s">
        <v>27</v>
      </c>
      <c r="H4" s="9" t="s">
        <v>29</v>
      </c>
      <c r="I4" s="9" t="s">
        <v>32</v>
      </c>
      <c r="J4" s="9" t="s">
        <v>33</v>
      </c>
      <c r="K4" s="9" t="s">
        <v>35</v>
      </c>
      <c r="L4" s="9" t="s">
        <v>37</v>
      </c>
      <c r="M4" s="9" t="s">
        <v>38</v>
      </c>
      <c r="N4" s="9" t="s">
        <v>40</v>
      </c>
      <c r="O4" s="9" t="s">
        <v>43</v>
      </c>
      <c r="P4" s="9" t="s">
        <v>44</v>
      </c>
      <c r="Q4" s="9" t="s">
        <v>47</v>
      </c>
      <c r="R4" s="9" t="s">
        <v>49</v>
      </c>
      <c r="S4" s="9" t="s">
        <v>52</v>
      </c>
      <c r="T4" s="9" t="s">
        <v>55</v>
      </c>
      <c r="U4" s="9" t="s">
        <v>58</v>
      </c>
    </row>
    <row r="5" spans="1:27" ht="29.4" customHeight="1" x14ac:dyDescent="0.3">
      <c r="A5" s="15" t="s">
        <v>61</v>
      </c>
      <c r="B5" s="16"/>
      <c r="C5" s="16"/>
      <c r="D5" s="18" t="s">
        <v>66</v>
      </c>
      <c r="E5" s="18" t="s">
        <v>69</v>
      </c>
      <c r="F5" s="18" t="s">
        <v>71</v>
      </c>
      <c r="G5" s="18" t="s">
        <v>72</v>
      </c>
      <c r="H5" s="18" t="s">
        <v>74</v>
      </c>
      <c r="I5" s="18" t="s">
        <v>75</v>
      </c>
      <c r="J5" s="18" t="s">
        <v>76</v>
      </c>
      <c r="K5" s="18" t="s">
        <v>77</v>
      </c>
      <c r="L5" s="18" t="s">
        <v>78</v>
      </c>
      <c r="M5" s="18" t="s">
        <v>79</v>
      </c>
      <c r="N5" s="18" t="s">
        <v>80</v>
      </c>
      <c r="O5" s="18" t="s">
        <v>81</v>
      </c>
      <c r="P5" s="18" t="s">
        <v>82</v>
      </c>
      <c r="Q5" s="18" t="s">
        <v>84</v>
      </c>
      <c r="R5" s="18" t="s">
        <v>85</v>
      </c>
      <c r="S5" s="18" t="s">
        <v>87</v>
      </c>
      <c r="T5" s="16"/>
      <c r="U5" s="16"/>
      <c r="V5" s="16"/>
      <c r="W5" s="16"/>
      <c r="X5" s="16"/>
      <c r="Y5" s="16"/>
      <c r="Z5" s="16"/>
      <c r="AA5" s="16"/>
    </row>
    <row r="6" spans="1:27" ht="14.25" customHeight="1" x14ac:dyDescent="0.3">
      <c r="A6" s="24" t="s">
        <v>91</v>
      </c>
      <c r="B6" s="25"/>
      <c r="C6" s="25"/>
      <c r="D6" s="29">
        <f>PARAMETROS!$B$11</f>
        <v>19669.46</v>
      </c>
      <c r="E6" s="29">
        <f t="shared" ref="E6:S6" si="0">D55</f>
        <v>31435.300000000003</v>
      </c>
      <c r="F6" s="29">
        <f t="shared" si="0"/>
        <v>23206.854238095239</v>
      </c>
      <c r="G6" s="29">
        <f t="shared" si="0"/>
        <v>19090.993476190473</v>
      </c>
      <c r="H6" s="29">
        <f t="shared" si="0"/>
        <v>3928.9957142857093</v>
      </c>
      <c r="I6" s="29">
        <f t="shared" si="0"/>
        <v>-11747.326714285722</v>
      </c>
      <c r="J6" s="29">
        <f t="shared" si="0"/>
        <v>-15644.475142857151</v>
      </c>
      <c r="K6" s="29">
        <f t="shared" si="0"/>
        <v>-6989.3425714285804</v>
      </c>
      <c r="L6" s="29">
        <f t="shared" si="0"/>
        <v>-14774.046000000009</v>
      </c>
      <c r="M6" s="29">
        <f t="shared" si="0"/>
        <v>-12752.71000000001</v>
      </c>
      <c r="N6" s="29">
        <f t="shared" si="0"/>
        <v>-5859.9320000000107</v>
      </c>
      <c r="O6" s="29">
        <f t="shared" si="0"/>
        <v>4723.771999999989</v>
      </c>
      <c r="P6" s="29">
        <f t="shared" si="0"/>
        <v>8260.6239999999889</v>
      </c>
      <c r="Q6" s="29">
        <f t="shared" si="0"/>
        <v>10281.959999999988</v>
      </c>
      <c r="R6" s="29">
        <f t="shared" si="0"/>
        <v>17174.737999999987</v>
      </c>
      <c r="S6" s="29">
        <f t="shared" si="0"/>
        <v>27758.441999999988</v>
      </c>
    </row>
    <row r="7" spans="1:27" ht="14.25" customHeight="1" x14ac:dyDescent="0.3">
      <c r="A7" s="33" t="s">
        <v>148</v>
      </c>
      <c r="B7" s="34"/>
      <c r="C7" s="6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</row>
    <row r="8" spans="1:27" ht="14.25" customHeight="1" x14ac:dyDescent="0.3">
      <c r="A8" s="11" t="s">
        <v>158</v>
      </c>
      <c r="B8" s="31" t="s">
        <v>161</v>
      </c>
      <c r="C8" s="31"/>
      <c r="D8" s="35">
        <v>24965.7</v>
      </c>
      <c r="E8" s="35">
        <v>7937.7779999999993</v>
      </c>
      <c r="F8" s="35">
        <v>10583.704</v>
      </c>
      <c r="G8" s="35">
        <v>5291.8519999999999</v>
      </c>
      <c r="H8" s="35">
        <v>2645.9259999999999</v>
      </c>
      <c r="I8" s="35">
        <v>7937.7779999999993</v>
      </c>
      <c r="J8" s="35">
        <v>10583.704</v>
      </c>
      <c r="K8" s="35">
        <v>5291.8519999999999</v>
      </c>
      <c r="L8" s="35">
        <v>2645.9259999999999</v>
      </c>
      <c r="M8" s="35">
        <v>7937.7779999999993</v>
      </c>
      <c r="N8" s="35">
        <v>10583.704</v>
      </c>
      <c r="O8" s="35">
        <v>5291.8519999999999</v>
      </c>
      <c r="P8" s="35">
        <v>2645.9259999999999</v>
      </c>
      <c r="Q8" s="35">
        <v>7937.7779999999993</v>
      </c>
      <c r="R8" s="35">
        <v>10583.704</v>
      </c>
      <c r="S8" s="35">
        <v>5291.8519999999999</v>
      </c>
    </row>
    <row r="9" spans="1:27" ht="14.25" customHeight="1" x14ac:dyDescent="0.3">
      <c r="A9" s="11" t="s">
        <v>169</v>
      </c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</row>
    <row r="10" spans="1:27" ht="14.25" customHeight="1" x14ac:dyDescent="0.3">
      <c r="A10" s="11" t="s">
        <v>179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</row>
    <row r="11" spans="1:27" ht="14.25" customHeight="1" x14ac:dyDescent="0.3">
      <c r="A11" s="37" t="s">
        <v>180</v>
      </c>
      <c r="D11" s="38">
        <f t="shared" ref="D11:S11" si="1">SUM(D8:D10)</f>
        <v>24965.7</v>
      </c>
      <c r="E11" s="38">
        <f t="shared" si="1"/>
        <v>7937.7779999999993</v>
      </c>
      <c r="F11" s="38">
        <f t="shared" si="1"/>
        <v>10583.704</v>
      </c>
      <c r="G11" s="38">
        <f t="shared" si="1"/>
        <v>5291.8519999999999</v>
      </c>
      <c r="H11" s="38">
        <f t="shared" si="1"/>
        <v>2645.9259999999999</v>
      </c>
      <c r="I11" s="38">
        <f t="shared" si="1"/>
        <v>7937.7779999999993</v>
      </c>
      <c r="J11" s="38">
        <f t="shared" si="1"/>
        <v>10583.704</v>
      </c>
      <c r="K11" s="38">
        <f t="shared" si="1"/>
        <v>5291.8519999999999</v>
      </c>
      <c r="L11" s="38">
        <f t="shared" si="1"/>
        <v>2645.9259999999999</v>
      </c>
      <c r="M11" s="38">
        <f t="shared" si="1"/>
        <v>7937.7779999999993</v>
      </c>
      <c r="N11" s="38">
        <f t="shared" si="1"/>
        <v>10583.704</v>
      </c>
      <c r="O11" s="38">
        <f t="shared" si="1"/>
        <v>5291.8519999999999</v>
      </c>
      <c r="P11" s="38">
        <f t="shared" si="1"/>
        <v>2645.9259999999999</v>
      </c>
      <c r="Q11" s="38">
        <f t="shared" si="1"/>
        <v>7937.7779999999993</v>
      </c>
      <c r="R11" s="38">
        <f t="shared" si="1"/>
        <v>10583.704</v>
      </c>
      <c r="S11" s="38">
        <f t="shared" si="1"/>
        <v>5291.8519999999999</v>
      </c>
    </row>
    <row r="12" spans="1:27" ht="14.25" customHeight="1" x14ac:dyDescent="0.3">
      <c r="A12" s="33" t="s">
        <v>186</v>
      </c>
      <c r="B12" s="34"/>
      <c r="C12" s="6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</row>
    <row r="13" spans="1:27" ht="14.25" customHeight="1" x14ac:dyDescent="0.3">
      <c r="A13" s="11" t="s">
        <v>183</v>
      </c>
      <c r="D13" s="35">
        <v>0</v>
      </c>
      <c r="E13" s="35">
        <v>0</v>
      </c>
      <c r="F13" s="35">
        <v>0</v>
      </c>
      <c r="G13" s="35">
        <f>1555+100+100</f>
        <v>1755</v>
      </c>
      <c r="H13" s="35">
        <v>0</v>
      </c>
      <c r="I13" s="35">
        <v>0</v>
      </c>
      <c r="J13" s="35">
        <v>0</v>
      </c>
      <c r="K13" s="35">
        <f>1555+100+100</f>
        <v>1755</v>
      </c>
      <c r="L13" s="35">
        <v>0</v>
      </c>
      <c r="M13" s="35">
        <v>0</v>
      </c>
      <c r="N13" s="35">
        <v>0</v>
      </c>
      <c r="O13" s="35">
        <f>1555+100+100</f>
        <v>1755</v>
      </c>
      <c r="P13" s="35">
        <v>0</v>
      </c>
      <c r="Q13" s="35">
        <v>0</v>
      </c>
      <c r="R13" s="35">
        <v>0</v>
      </c>
      <c r="S13" s="35">
        <f>1555+100+100</f>
        <v>1755</v>
      </c>
    </row>
    <row r="14" spans="1:27" ht="14.25" customHeight="1" x14ac:dyDescent="0.3">
      <c r="A14" s="11" t="s">
        <v>185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</row>
    <row r="15" spans="1:27" ht="14.25" customHeight="1" x14ac:dyDescent="0.3">
      <c r="A15" s="11" t="s">
        <v>188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</row>
    <row r="16" spans="1:27" ht="14.25" customHeight="1" x14ac:dyDescent="0.3">
      <c r="A16" s="11" t="s">
        <v>190</v>
      </c>
      <c r="D16" s="35">
        <v>0</v>
      </c>
      <c r="E16" s="35">
        <v>1045</v>
      </c>
      <c r="F16" s="35">
        <v>0</v>
      </c>
      <c r="G16" s="35">
        <v>0</v>
      </c>
      <c r="H16" s="35">
        <v>0</v>
      </c>
      <c r="I16" s="35">
        <v>1045</v>
      </c>
      <c r="J16" s="35">
        <v>0</v>
      </c>
      <c r="K16" s="35">
        <v>0</v>
      </c>
      <c r="L16" s="35">
        <v>0</v>
      </c>
      <c r="M16" s="35">
        <v>1045</v>
      </c>
      <c r="N16" s="35">
        <v>0</v>
      </c>
      <c r="O16" s="35">
        <v>0</v>
      </c>
      <c r="P16" s="35">
        <v>0</v>
      </c>
      <c r="Q16" s="35">
        <v>1045</v>
      </c>
      <c r="R16" s="35">
        <v>0</v>
      </c>
      <c r="S16" s="35">
        <v>0</v>
      </c>
    </row>
    <row r="17" spans="1:21" ht="14.25" customHeight="1" x14ac:dyDescent="0.3">
      <c r="A17" s="11" t="s">
        <v>192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</row>
    <row r="18" spans="1:21" ht="14.25" customHeight="1" x14ac:dyDescent="0.3">
      <c r="A18" s="11" t="s">
        <v>194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</row>
    <row r="19" spans="1:21" ht="14.25" customHeight="1" x14ac:dyDescent="0.3">
      <c r="A19" s="39" t="s">
        <v>209</v>
      </c>
      <c r="D19" s="35">
        <v>624.59</v>
      </c>
      <c r="E19" s="35">
        <v>0</v>
      </c>
      <c r="F19" s="35">
        <v>0</v>
      </c>
      <c r="G19" s="35">
        <v>0</v>
      </c>
      <c r="H19" s="35">
        <v>624.59</v>
      </c>
      <c r="I19" s="35">
        <v>0</v>
      </c>
      <c r="J19" s="35">
        <v>0</v>
      </c>
      <c r="K19" s="35">
        <v>0</v>
      </c>
      <c r="L19" s="35">
        <v>624.59</v>
      </c>
      <c r="M19" s="35">
        <v>0</v>
      </c>
      <c r="N19" s="35">
        <v>0</v>
      </c>
      <c r="O19" s="35">
        <v>0</v>
      </c>
      <c r="P19" s="35">
        <v>624.59</v>
      </c>
      <c r="Q19" s="35">
        <v>0</v>
      </c>
      <c r="R19" s="35">
        <v>0</v>
      </c>
      <c r="S19" s="35">
        <v>0</v>
      </c>
    </row>
    <row r="20" spans="1:21" ht="14.25" customHeight="1" x14ac:dyDescent="0.3">
      <c r="A20" s="39" t="s">
        <v>217</v>
      </c>
      <c r="D20" s="35">
        <v>125.88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</row>
    <row r="21" spans="1:21" ht="14.25" customHeight="1" x14ac:dyDescent="0.3">
      <c r="A21" s="37" t="s">
        <v>196</v>
      </c>
      <c r="D21" s="38">
        <f t="shared" ref="D21:S21" si="2">SUM(D13:D20)</f>
        <v>750.47</v>
      </c>
      <c r="E21" s="38">
        <f t="shared" si="2"/>
        <v>1045</v>
      </c>
      <c r="F21" s="38">
        <f t="shared" si="2"/>
        <v>0</v>
      </c>
      <c r="G21" s="38">
        <f t="shared" si="2"/>
        <v>1755</v>
      </c>
      <c r="H21" s="38">
        <f t="shared" si="2"/>
        <v>624.59</v>
      </c>
      <c r="I21" s="38">
        <f t="shared" si="2"/>
        <v>1045</v>
      </c>
      <c r="J21" s="38">
        <f t="shared" si="2"/>
        <v>0</v>
      </c>
      <c r="K21" s="38">
        <f t="shared" si="2"/>
        <v>1755</v>
      </c>
      <c r="L21" s="38">
        <f t="shared" si="2"/>
        <v>624.59</v>
      </c>
      <c r="M21" s="38">
        <f t="shared" si="2"/>
        <v>1045</v>
      </c>
      <c r="N21" s="38">
        <f t="shared" si="2"/>
        <v>0</v>
      </c>
      <c r="O21" s="38">
        <f t="shared" si="2"/>
        <v>1755</v>
      </c>
      <c r="P21" s="38">
        <f t="shared" si="2"/>
        <v>624.59</v>
      </c>
      <c r="Q21" s="38">
        <f t="shared" si="2"/>
        <v>1045</v>
      </c>
      <c r="R21" s="38">
        <f t="shared" si="2"/>
        <v>0</v>
      </c>
      <c r="S21" s="38">
        <f t="shared" si="2"/>
        <v>1755</v>
      </c>
    </row>
    <row r="22" spans="1:21" ht="14.25" customHeight="1" x14ac:dyDescent="0.3">
      <c r="A22" s="33" t="s">
        <v>230</v>
      </c>
      <c r="B22" s="34"/>
      <c r="C22" s="6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1:21" ht="14.25" customHeight="1" x14ac:dyDescent="0.3">
      <c r="A23" s="11" t="s">
        <v>275</v>
      </c>
      <c r="B23" s="70">
        <v>2050.8000000000002</v>
      </c>
      <c r="C23" s="35"/>
      <c r="D23" s="35">
        <v>2050.8000000000002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f t="shared" ref="T23:T50" si="3">SUM(D23:S23)</f>
        <v>2050.8000000000002</v>
      </c>
      <c r="U23" s="35">
        <f t="shared" ref="U23:U50" si="4">B23-T23</f>
        <v>0</v>
      </c>
    </row>
    <row r="24" spans="1:21" ht="14.25" customHeight="1" x14ac:dyDescent="0.3">
      <c r="A24" s="11" t="s">
        <v>276</v>
      </c>
      <c r="B24" s="70">
        <v>9000</v>
      </c>
      <c r="C24" s="35"/>
      <c r="D24" s="35">
        <v>2000</v>
      </c>
      <c r="E24" s="35">
        <v>1000</v>
      </c>
      <c r="F24" s="35">
        <v>1000</v>
      </c>
      <c r="G24" s="35">
        <v>1000</v>
      </c>
      <c r="H24" s="35">
        <v>1000</v>
      </c>
      <c r="I24" s="35">
        <v>1000</v>
      </c>
      <c r="J24" s="35">
        <v>1000</v>
      </c>
      <c r="K24" s="35">
        <v>1000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f t="shared" si="3"/>
        <v>9000</v>
      </c>
      <c r="U24" s="35">
        <f t="shared" si="4"/>
        <v>0</v>
      </c>
    </row>
    <row r="25" spans="1:21" ht="14.25" customHeight="1" x14ac:dyDescent="0.3">
      <c r="A25" s="11" t="s">
        <v>277</v>
      </c>
      <c r="B25" s="70">
        <v>4416</v>
      </c>
      <c r="C25" s="35"/>
      <c r="D25" s="35">
        <v>0</v>
      </c>
      <c r="E25" s="35">
        <v>1324.8</v>
      </c>
      <c r="F25" s="35">
        <v>1766.4</v>
      </c>
      <c r="G25" s="35">
        <v>1324.8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f t="shared" si="3"/>
        <v>4416</v>
      </c>
      <c r="U25" s="35">
        <f t="shared" si="4"/>
        <v>0</v>
      </c>
    </row>
    <row r="26" spans="1:21" ht="14.25" customHeight="1" x14ac:dyDescent="0.3">
      <c r="A26" s="11" t="s">
        <v>278</v>
      </c>
      <c r="B26" s="70">
        <v>1352.43</v>
      </c>
      <c r="C26" s="35"/>
      <c r="D26" s="35">
        <v>1352.43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f t="shared" si="3"/>
        <v>1352.43</v>
      </c>
      <c r="U26" s="35">
        <f t="shared" si="4"/>
        <v>0</v>
      </c>
    </row>
    <row r="27" spans="1:21" ht="14.25" customHeight="1" x14ac:dyDescent="0.3">
      <c r="A27" s="11" t="s">
        <v>279</v>
      </c>
      <c r="B27" s="70">
        <v>9652.14</v>
      </c>
      <c r="C27" s="35"/>
      <c r="D27" s="35">
        <v>0</v>
      </c>
      <c r="E27" s="35">
        <v>5515.51</v>
      </c>
      <c r="F27" s="35">
        <v>0</v>
      </c>
      <c r="G27" s="35">
        <v>4136.63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f t="shared" si="3"/>
        <v>9652.14</v>
      </c>
      <c r="U27" s="35">
        <f t="shared" si="4"/>
        <v>0</v>
      </c>
    </row>
    <row r="28" spans="1:21" ht="14.25" customHeight="1" x14ac:dyDescent="0.3">
      <c r="A28" s="11" t="s">
        <v>280</v>
      </c>
      <c r="B28" s="70">
        <v>761.25</v>
      </c>
      <c r="C28" s="35"/>
      <c r="D28" s="35">
        <v>0</v>
      </c>
      <c r="E28" s="35">
        <v>0</v>
      </c>
      <c r="F28" s="35">
        <v>761.25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f t="shared" si="3"/>
        <v>761.25</v>
      </c>
      <c r="U28" s="35">
        <f t="shared" si="4"/>
        <v>0</v>
      </c>
    </row>
    <row r="29" spans="1:21" ht="14.25" customHeight="1" x14ac:dyDescent="0.3">
      <c r="A29" s="11" t="s">
        <v>285</v>
      </c>
      <c r="B29" s="35">
        <v>2693.88</v>
      </c>
      <c r="C29" s="35"/>
      <c r="D29" s="35">
        <v>0</v>
      </c>
      <c r="E29" s="35">
        <f t="shared" ref="E29" si="5">+B29*30%</f>
        <v>808.16399999999999</v>
      </c>
      <c r="F29" s="35">
        <v>0</v>
      </c>
      <c r="G29" s="35">
        <v>0</v>
      </c>
      <c r="H29" s="35">
        <f t="shared" ref="H29" si="6">+B29*40%</f>
        <v>1077.5520000000001</v>
      </c>
      <c r="I29" s="35">
        <v>0</v>
      </c>
      <c r="J29" s="35">
        <v>0</v>
      </c>
      <c r="K29" s="35">
        <f t="shared" ref="K29" si="7">+B29*30%</f>
        <v>808.16399999999999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f t="shared" si="3"/>
        <v>2693.88</v>
      </c>
      <c r="U29" s="35">
        <f t="shared" si="4"/>
        <v>0</v>
      </c>
    </row>
    <row r="30" spans="1:21" ht="14.25" customHeight="1" x14ac:dyDescent="0.3">
      <c r="A30" s="11" t="s">
        <v>288</v>
      </c>
      <c r="B30" s="35">
        <v>1885</v>
      </c>
      <c r="C30" s="35"/>
      <c r="D30" s="35">
        <v>0</v>
      </c>
      <c r="E30" s="59">
        <f>+B30/3</f>
        <v>628.33333333333337</v>
      </c>
      <c r="F30" s="59">
        <f>+E30</f>
        <v>628.33333333333337</v>
      </c>
      <c r="G30" s="59">
        <f>+F30</f>
        <v>628.33333333333337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f t="shared" ref="T30:T31" si="8">SUM(D30:S30)</f>
        <v>1885</v>
      </c>
      <c r="U30" s="35">
        <f t="shared" ref="U30:U31" si="9">B30-T30</f>
        <v>0</v>
      </c>
    </row>
    <row r="31" spans="1:21" ht="14.25" customHeight="1" x14ac:dyDescent="0.3">
      <c r="A31" s="11" t="s">
        <v>289</v>
      </c>
      <c r="B31" s="35">
        <v>2485.14</v>
      </c>
      <c r="C31" s="35"/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f t="shared" si="8"/>
        <v>0</v>
      </c>
      <c r="U31" s="35">
        <f t="shared" si="9"/>
        <v>2485.14</v>
      </c>
    </row>
    <row r="32" spans="1:21" ht="14.25" customHeight="1" x14ac:dyDescent="0.3">
      <c r="A32" s="11" t="s">
        <v>286</v>
      </c>
      <c r="B32" s="64">
        <v>1507.31</v>
      </c>
      <c r="C32" s="64"/>
      <c r="D32" s="35">
        <v>0</v>
      </c>
      <c r="E32" s="59">
        <f>+B32/2</f>
        <v>753.65499999999997</v>
      </c>
      <c r="F32" s="59">
        <f>+E32</f>
        <v>753.65499999999997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f t="shared" ref="T32:T41" si="10">SUM(D32:S32)</f>
        <v>1507.31</v>
      </c>
      <c r="U32" s="35">
        <f t="shared" ref="U32:U41" si="11">B32-T32</f>
        <v>0</v>
      </c>
    </row>
    <row r="33" spans="1:21" ht="14.25" customHeight="1" x14ac:dyDescent="0.3">
      <c r="A33" s="63" t="s">
        <v>291</v>
      </c>
      <c r="B33" s="35">
        <v>4363.0200000000004</v>
      </c>
      <c r="C33" s="35"/>
      <c r="D33" s="35">
        <v>4363.0200000000004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f>SUM(D33:S33)</f>
        <v>4363.0200000000004</v>
      </c>
      <c r="U33" s="35">
        <f>B33-T33</f>
        <v>0</v>
      </c>
    </row>
    <row r="34" spans="1:21" ht="14.25" customHeight="1" x14ac:dyDescent="0.3">
      <c r="A34" s="11" t="s">
        <v>281</v>
      </c>
      <c r="B34" s="35">
        <v>2327.19</v>
      </c>
      <c r="C34" s="35"/>
      <c r="D34" s="35">
        <v>0</v>
      </c>
      <c r="E34" s="35">
        <v>2327.19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f>SUM(D34:S34)</f>
        <v>2327.19</v>
      </c>
      <c r="U34" s="35">
        <f>B34-T34</f>
        <v>0</v>
      </c>
    </row>
    <row r="35" spans="1:21" ht="14.25" customHeight="1" x14ac:dyDescent="0.3">
      <c r="A35" s="11" t="s">
        <v>260</v>
      </c>
      <c r="B35" s="35">
        <v>198</v>
      </c>
      <c r="C35" s="35"/>
      <c r="D35" s="35">
        <v>198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f>SUM(D35:S35)</f>
        <v>198</v>
      </c>
      <c r="U35" s="35">
        <f>B35-T35</f>
        <v>0</v>
      </c>
    </row>
    <row r="36" spans="1:21" ht="14.25" customHeight="1" x14ac:dyDescent="0.3">
      <c r="A36" s="63" t="s">
        <v>283</v>
      </c>
      <c r="B36" s="64">
        <f>10258+4160.13</f>
        <v>14418.130000000001</v>
      </c>
      <c r="C36" s="64"/>
      <c r="D36" s="35">
        <v>0</v>
      </c>
      <c r="E36" s="35">
        <v>0</v>
      </c>
      <c r="F36" s="59">
        <f>+B36/4</f>
        <v>3604.5325000000003</v>
      </c>
      <c r="G36" s="59">
        <f>+F36</f>
        <v>3604.5325000000003</v>
      </c>
      <c r="H36" s="59">
        <f t="shared" ref="H36:I36" si="12">+G36</f>
        <v>3604.5325000000003</v>
      </c>
      <c r="I36" s="59">
        <f t="shared" si="12"/>
        <v>3604.5325000000003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f>SUM(D36:S36)</f>
        <v>14418.130000000001</v>
      </c>
      <c r="U36" s="46">
        <f>B36-T36</f>
        <v>0</v>
      </c>
    </row>
    <row r="37" spans="1:21" ht="14.25" customHeight="1" x14ac:dyDescent="0.3">
      <c r="A37" s="63" t="s">
        <v>284</v>
      </c>
      <c r="B37" s="64">
        <f>12166.54+8860.75</f>
        <v>21027.29</v>
      </c>
      <c r="C37" s="64"/>
      <c r="D37" s="35">
        <v>0</v>
      </c>
      <c r="E37" s="35">
        <v>0</v>
      </c>
      <c r="F37" s="59">
        <f>+B37/4</f>
        <v>5256.8225000000002</v>
      </c>
      <c r="G37" s="59">
        <f>+F37</f>
        <v>5256.8225000000002</v>
      </c>
      <c r="H37" s="59">
        <f t="shared" ref="H37:I37" si="13">+G37</f>
        <v>5256.8225000000002</v>
      </c>
      <c r="I37" s="59">
        <f t="shared" si="13"/>
        <v>5256.8225000000002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f>SUM(D37:S37)</f>
        <v>21027.29</v>
      </c>
      <c r="U37" s="35">
        <f>B37-T37</f>
        <v>0</v>
      </c>
    </row>
    <row r="38" spans="1:21" ht="14.25" customHeight="1" x14ac:dyDescent="0.3">
      <c r="A38" s="11" t="s">
        <v>287</v>
      </c>
      <c r="B38" s="35">
        <v>3450</v>
      </c>
      <c r="C38" s="35"/>
      <c r="D38" s="35">
        <v>0</v>
      </c>
      <c r="E38" s="35">
        <f>+B38*30%</f>
        <v>1035</v>
      </c>
      <c r="F38" s="35">
        <v>0</v>
      </c>
      <c r="G38" s="35">
        <v>0</v>
      </c>
      <c r="H38" s="35">
        <f>+B38*40%</f>
        <v>1380</v>
      </c>
      <c r="I38" s="35">
        <v>0</v>
      </c>
      <c r="J38" s="35">
        <v>0</v>
      </c>
      <c r="K38" s="35">
        <f>+B38*30%</f>
        <v>1035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f t="shared" si="10"/>
        <v>3450</v>
      </c>
      <c r="U38" s="35">
        <f t="shared" si="11"/>
        <v>0</v>
      </c>
    </row>
    <row r="39" spans="1:21" ht="14.25" customHeight="1" x14ac:dyDescent="0.3">
      <c r="A39" s="11" t="s">
        <v>290</v>
      </c>
      <c r="B39" s="35">
        <v>2643.85</v>
      </c>
      <c r="C39" s="35"/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f>SUM(D39:S39)</f>
        <v>0</v>
      </c>
      <c r="U39" s="35">
        <f>B39-T39</f>
        <v>2643.85</v>
      </c>
    </row>
    <row r="40" spans="1:21" ht="14.25" customHeight="1" x14ac:dyDescent="0.3">
      <c r="A40" s="11" t="s">
        <v>272</v>
      </c>
      <c r="B40" s="35">
        <v>6500</v>
      </c>
      <c r="C40" s="35"/>
      <c r="D40" s="35">
        <v>0</v>
      </c>
      <c r="E40" s="35">
        <v>928.57142857142856</v>
      </c>
      <c r="F40" s="35">
        <v>928.57142857142856</v>
      </c>
      <c r="G40" s="35">
        <v>928.57142857142856</v>
      </c>
      <c r="H40" s="35">
        <v>928.57142857142856</v>
      </c>
      <c r="I40" s="35">
        <v>928.57142857142856</v>
      </c>
      <c r="J40" s="35">
        <v>928.57142857142856</v>
      </c>
      <c r="K40" s="35">
        <v>928.57142857142856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f t="shared" si="10"/>
        <v>6500</v>
      </c>
      <c r="U40" s="35">
        <f t="shared" si="11"/>
        <v>0</v>
      </c>
    </row>
    <row r="41" spans="1:21" ht="14.25" customHeight="1" x14ac:dyDescent="0.3">
      <c r="A41" s="11" t="s">
        <v>273</v>
      </c>
      <c r="B41" s="35">
        <v>12000</v>
      </c>
      <c r="C41" s="35"/>
      <c r="D41" s="35">
        <v>0</v>
      </c>
      <c r="E41" s="35">
        <v>0</v>
      </c>
      <c r="F41" s="35">
        <v>0</v>
      </c>
      <c r="G41" s="35">
        <v>0</v>
      </c>
      <c r="H41" s="35">
        <v>4450.18</v>
      </c>
      <c r="I41" s="35">
        <v>0</v>
      </c>
      <c r="J41" s="35">
        <v>0</v>
      </c>
      <c r="K41" s="35">
        <v>7549.82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f t="shared" si="10"/>
        <v>12000</v>
      </c>
      <c r="U41" s="35">
        <f t="shared" si="11"/>
        <v>0</v>
      </c>
    </row>
    <row r="42" spans="1:21" ht="14.25" customHeight="1" x14ac:dyDescent="0.3">
      <c r="A42" s="61" t="s">
        <v>211</v>
      </c>
      <c r="B42" s="65">
        <f>PARAMETROS!$B$35</f>
        <v>11210</v>
      </c>
      <c r="C42" s="65"/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f t="shared" si="3"/>
        <v>0</v>
      </c>
      <c r="U42" s="46">
        <f t="shared" si="4"/>
        <v>11210</v>
      </c>
    </row>
    <row r="43" spans="1:21" ht="14.25" customHeight="1" x14ac:dyDescent="0.3">
      <c r="A43" s="61" t="s">
        <v>212</v>
      </c>
      <c r="B43" s="65">
        <f>PARAMETROS!$B$36</f>
        <v>22520</v>
      </c>
      <c r="C43" s="65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f t="shared" si="3"/>
        <v>0</v>
      </c>
      <c r="U43" s="46">
        <f t="shared" si="4"/>
        <v>22520</v>
      </c>
    </row>
    <row r="44" spans="1:21" ht="14.25" customHeight="1" x14ac:dyDescent="0.3">
      <c r="A44" s="11" t="s">
        <v>256</v>
      </c>
      <c r="B44" s="35">
        <v>2485.14</v>
      </c>
      <c r="C44" s="35"/>
      <c r="D44" s="35">
        <v>2485.14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f t="shared" si="3"/>
        <v>2485.14</v>
      </c>
      <c r="U44" s="35">
        <f t="shared" si="4"/>
        <v>0</v>
      </c>
    </row>
    <row r="45" spans="1:21" ht="14.25" customHeight="1" x14ac:dyDescent="0.3">
      <c r="A45" s="11" t="s">
        <v>257</v>
      </c>
      <c r="B45" s="64">
        <v>45.59</v>
      </c>
      <c r="C45" s="64"/>
      <c r="D45" s="35">
        <v>0</v>
      </c>
      <c r="E45" s="35">
        <v>0</v>
      </c>
      <c r="F45" s="35">
        <v>0</v>
      </c>
      <c r="G45" s="35">
        <v>45.59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f t="shared" si="3"/>
        <v>45.59</v>
      </c>
      <c r="U45" s="35">
        <f t="shared" si="4"/>
        <v>0</v>
      </c>
    </row>
    <row r="46" spans="1:21" ht="14.25" customHeight="1" x14ac:dyDescent="0.3">
      <c r="A46" s="11" t="s">
        <v>258</v>
      </c>
      <c r="B46" s="64">
        <v>520.46</v>
      </c>
      <c r="C46" s="64"/>
      <c r="D46" s="35">
        <v>0</v>
      </c>
      <c r="E46" s="35">
        <v>0</v>
      </c>
      <c r="F46" s="35">
        <v>0</v>
      </c>
      <c r="G46" s="35">
        <v>520.46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f t="shared" si="3"/>
        <v>520.46</v>
      </c>
      <c r="U46" s="35">
        <f t="shared" si="4"/>
        <v>0</v>
      </c>
    </row>
    <row r="47" spans="1:21" ht="14.25" customHeight="1" x14ac:dyDescent="0.3">
      <c r="A47" s="11" t="s">
        <v>259</v>
      </c>
      <c r="B47" s="64">
        <v>1253.1099999999999</v>
      </c>
      <c r="C47" s="64"/>
      <c r="D47" s="35">
        <v>0</v>
      </c>
      <c r="E47" s="35">
        <v>0</v>
      </c>
      <c r="F47" s="35">
        <v>0</v>
      </c>
      <c r="G47" s="35">
        <v>1253.1099999999999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f t="shared" si="3"/>
        <v>1253.1099999999999</v>
      </c>
      <c r="U47" s="35">
        <f t="shared" si="4"/>
        <v>0</v>
      </c>
    </row>
    <row r="48" spans="1:21" ht="14.25" customHeight="1" x14ac:dyDescent="0.3">
      <c r="A48" s="61" t="s">
        <v>274</v>
      </c>
      <c r="B48" s="65"/>
      <c r="C48" s="65"/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f t="shared" ref="T48" si="14">SUM(D48:S48)</f>
        <v>0</v>
      </c>
      <c r="U48" s="35">
        <f t="shared" ref="U48" si="15">B48-T48</f>
        <v>0</v>
      </c>
    </row>
    <row r="49" spans="1:27" ht="14.25" customHeight="1" x14ac:dyDescent="0.3">
      <c r="A49" s="39" t="s">
        <v>261</v>
      </c>
      <c r="B49" s="35">
        <f>10*80</f>
        <v>800</v>
      </c>
      <c r="C49" s="35"/>
      <c r="D49" s="35">
        <v>0</v>
      </c>
      <c r="E49" s="35">
        <v>800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f t="shared" si="3"/>
        <v>800</v>
      </c>
      <c r="U49" s="35">
        <f t="shared" si="4"/>
        <v>0</v>
      </c>
    </row>
    <row r="50" spans="1:27" ht="14.25" customHeight="1" x14ac:dyDescent="0.3">
      <c r="A50" s="47" t="s">
        <v>282</v>
      </c>
      <c r="B50" s="36">
        <v>0</v>
      </c>
      <c r="C50" s="67"/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5">
        <f t="shared" si="3"/>
        <v>0</v>
      </c>
      <c r="U50" s="35">
        <f t="shared" si="4"/>
        <v>0</v>
      </c>
    </row>
    <row r="51" spans="1:27" ht="14.25" customHeight="1" x14ac:dyDescent="0.3">
      <c r="A51" s="37" t="s">
        <v>262</v>
      </c>
      <c r="B51" s="38">
        <f>SUM(B23:B50)</f>
        <v>141565.73000000001</v>
      </c>
      <c r="C51" s="68"/>
      <c r="D51" s="38">
        <f t="shared" ref="D51:U51" si="16">SUM(D23:D50)</f>
        <v>12449.39</v>
      </c>
      <c r="E51" s="38">
        <f t="shared" si="16"/>
        <v>15121.223761904765</v>
      </c>
      <c r="F51" s="38">
        <f t="shared" si="16"/>
        <v>14699.564761904763</v>
      </c>
      <c r="G51" s="38">
        <f t="shared" si="16"/>
        <v>18698.849761904763</v>
      </c>
      <c r="H51" s="38">
        <f t="shared" si="16"/>
        <v>17697.658428571431</v>
      </c>
      <c r="I51" s="38">
        <f t="shared" si="16"/>
        <v>10789.926428571429</v>
      </c>
      <c r="J51" s="38">
        <f t="shared" si="16"/>
        <v>1928.5714285714284</v>
      </c>
      <c r="K51" s="38">
        <f t="shared" si="16"/>
        <v>11321.555428571428</v>
      </c>
      <c r="L51" s="38">
        <f t="shared" si="16"/>
        <v>0</v>
      </c>
      <c r="M51" s="38">
        <f t="shared" si="16"/>
        <v>0</v>
      </c>
      <c r="N51" s="38">
        <f t="shared" si="16"/>
        <v>0</v>
      </c>
      <c r="O51" s="38">
        <f t="shared" si="16"/>
        <v>0</v>
      </c>
      <c r="P51" s="38">
        <f t="shared" si="16"/>
        <v>0</v>
      </c>
      <c r="Q51" s="38">
        <f t="shared" si="16"/>
        <v>0</v>
      </c>
      <c r="R51" s="38">
        <f t="shared" si="16"/>
        <v>0</v>
      </c>
      <c r="S51" s="38">
        <f t="shared" si="16"/>
        <v>0</v>
      </c>
      <c r="T51" s="38">
        <f t="shared" si="16"/>
        <v>102706.74</v>
      </c>
      <c r="U51" s="38">
        <f t="shared" si="16"/>
        <v>38858.99</v>
      </c>
    </row>
    <row r="52" spans="1:27" ht="14.25" customHeight="1" x14ac:dyDescent="0.3"/>
    <row r="53" spans="1:27" ht="18" customHeight="1" x14ac:dyDescent="0.3">
      <c r="A53" s="48" t="s">
        <v>263</v>
      </c>
      <c r="B53" s="49"/>
      <c r="C53" s="49"/>
      <c r="D53" s="50">
        <f t="shared" ref="D53:S53" si="17">D21+D51</f>
        <v>13199.859999999999</v>
      </c>
      <c r="E53" s="50">
        <f t="shared" si="17"/>
        <v>16166.223761904765</v>
      </c>
      <c r="F53" s="50">
        <f t="shared" si="17"/>
        <v>14699.564761904763</v>
      </c>
      <c r="G53" s="50">
        <f t="shared" si="17"/>
        <v>20453.849761904763</v>
      </c>
      <c r="H53" s="50">
        <f t="shared" si="17"/>
        <v>18322.248428571431</v>
      </c>
      <c r="I53" s="50">
        <f t="shared" si="17"/>
        <v>11834.926428571429</v>
      </c>
      <c r="J53" s="50">
        <f t="shared" si="17"/>
        <v>1928.5714285714284</v>
      </c>
      <c r="K53" s="50">
        <f t="shared" si="17"/>
        <v>13076.555428571428</v>
      </c>
      <c r="L53" s="50">
        <f t="shared" si="17"/>
        <v>624.59</v>
      </c>
      <c r="M53" s="50">
        <f t="shared" si="17"/>
        <v>1045</v>
      </c>
      <c r="N53" s="50">
        <f t="shared" si="17"/>
        <v>0</v>
      </c>
      <c r="O53" s="50">
        <f t="shared" si="17"/>
        <v>1755</v>
      </c>
      <c r="P53" s="50">
        <f t="shared" si="17"/>
        <v>624.59</v>
      </c>
      <c r="Q53" s="50">
        <f t="shared" si="17"/>
        <v>1045</v>
      </c>
      <c r="R53" s="50">
        <f t="shared" si="17"/>
        <v>0</v>
      </c>
      <c r="S53" s="50">
        <f t="shared" si="17"/>
        <v>1755</v>
      </c>
      <c r="T53" s="49"/>
      <c r="U53" s="49"/>
      <c r="V53" s="49"/>
      <c r="W53" s="49"/>
      <c r="X53" s="49"/>
      <c r="Y53" s="49"/>
      <c r="Z53" s="49"/>
      <c r="AA53" s="49"/>
    </row>
    <row r="54" spans="1:27" ht="18" customHeight="1" x14ac:dyDescent="0.3">
      <c r="A54" s="15" t="s">
        <v>264</v>
      </c>
      <c r="B54" s="49"/>
      <c r="C54" s="49"/>
      <c r="D54" s="51">
        <f t="shared" ref="D54:S54" si="18">D11-D53</f>
        <v>11765.840000000002</v>
      </c>
      <c r="E54" s="51">
        <f t="shared" si="18"/>
        <v>-8228.4457619047644</v>
      </c>
      <c r="F54" s="51">
        <f t="shared" si="18"/>
        <v>-4115.8607619047634</v>
      </c>
      <c r="G54" s="51">
        <f t="shared" si="18"/>
        <v>-15161.997761904764</v>
      </c>
      <c r="H54" s="51">
        <f t="shared" si="18"/>
        <v>-15676.322428571431</v>
      </c>
      <c r="I54" s="51">
        <f t="shared" si="18"/>
        <v>-3897.1484285714296</v>
      </c>
      <c r="J54" s="51">
        <f t="shared" si="18"/>
        <v>8655.1325714285704</v>
      </c>
      <c r="K54" s="51">
        <f t="shared" si="18"/>
        <v>-7784.703428571428</v>
      </c>
      <c r="L54" s="51">
        <f t="shared" si="18"/>
        <v>2021.3359999999998</v>
      </c>
      <c r="M54" s="51">
        <f t="shared" si="18"/>
        <v>6892.7779999999993</v>
      </c>
      <c r="N54" s="51">
        <f t="shared" si="18"/>
        <v>10583.704</v>
      </c>
      <c r="O54" s="51">
        <f t="shared" si="18"/>
        <v>3536.8519999999999</v>
      </c>
      <c r="P54" s="51">
        <f t="shared" si="18"/>
        <v>2021.3359999999998</v>
      </c>
      <c r="Q54" s="51">
        <f t="shared" si="18"/>
        <v>6892.7779999999993</v>
      </c>
      <c r="R54" s="51">
        <f t="shared" si="18"/>
        <v>10583.704</v>
      </c>
      <c r="S54" s="51">
        <f t="shared" si="18"/>
        <v>3536.8519999999999</v>
      </c>
      <c r="T54" s="49"/>
      <c r="U54" s="49"/>
      <c r="V54" s="49"/>
      <c r="W54" s="49"/>
      <c r="X54" s="49"/>
      <c r="Y54" s="49"/>
      <c r="Z54" s="49"/>
      <c r="AA54" s="49"/>
    </row>
    <row r="55" spans="1:27" ht="18" customHeight="1" x14ac:dyDescent="0.3">
      <c r="A55" s="24" t="s">
        <v>265</v>
      </c>
      <c r="B55" s="49"/>
      <c r="C55" s="49"/>
      <c r="D55" s="52">
        <f t="shared" ref="D55:S55" si="19">D6+D54</f>
        <v>31435.300000000003</v>
      </c>
      <c r="E55" s="52">
        <f t="shared" si="19"/>
        <v>23206.854238095239</v>
      </c>
      <c r="F55" s="52">
        <f t="shared" si="19"/>
        <v>19090.993476190473</v>
      </c>
      <c r="G55" s="52">
        <f t="shared" si="19"/>
        <v>3928.9957142857093</v>
      </c>
      <c r="H55" s="52">
        <f t="shared" si="19"/>
        <v>-11747.326714285722</v>
      </c>
      <c r="I55" s="52">
        <f t="shared" si="19"/>
        <v>-15644.475142857151</v>
      </c>
      <c r="J55" s="52">
        <f t="shared" si="19"/>
        <v>-6989.3425714285804</v>
      </c>
      <c r="K55" s="52">
        <f t="shared" si="19"/>
        <v>-14774.046000000009</v>
      </c>
      <c r="L55" s="52">
        <f t="shared" si="19"/>
        <v>-12752.71000000001</v>
      </c>
      <c r="M55" s="52">
        <f t="shared" si="19"/>
        <v>-5859.9320000000107</v>
      </c>
      <c r="N55" s="52">
        <f t="shared" si="19"/>
        <v>4723.771999999989</v>
      </c>
      <c r="O55" s="52">
        <f t="shared" si="19"/>
        <v>8260.6239999999889</v>
      </c>
      <c r="P55" s="52">
        <f t="shared" si="19"/>
        <v>10281.959999999988</v>
      </c>
      <c r="Q55" s="52">
        <f t="shared" si="19"/>
        <v>17174.737999999987</v>
      </c>
      <c r="R55" s="52">
        <f t="shared" si="19"/>
        <v>27758.441999999988</v>
      </c>
      <c r="S55" s="52">
        <f t="shared" si="19"/>
        <v>31295.293999999987</v>
      </c>
      <c r="T55" s="49"/>
      <c r="U55" s="49"/>
      <c r="V55" s="49"/>
      <c r="W55" s="49"/>
      <c r="X55" s="49"/>
      <c r="Y55" s="49"/>
      <c r="Z55" s="49"/>
      <c r="AA55" s="49"/>
    </row>
    <row r="56" spans="1:27" ht="14.25" customHeight="1" x14ac:dyDescent="0.3"/>
    <row r="57" spans="1:27" ht="14.25" customHeight="1" x14ac:dyDescent="0.3">
      <c r="A57" s="39" t="s">
        <v>266</v>
      </c>
      <c r="D57" s="53">
        <f>PARAMETROS!$B$28</f>
        <v>24885.54</v>
      </c>
      <c r="E57" s="53">
        <f>PARAMETROS!$B$28</f>
        <v>24885.54</v>
      </c>
      <c r="F57" s="53">
        <f>PARAMETROS!$B$28</f>
        <v>24885.54</v>
      </c>
      <c r="G57" s="53">
        <f>PARAMETROS!$B$28</f>
        <v>24885.54</v>
      </c>
      <c r="H57" s="53">
        <f>PARAMETROS!$B$28</f>
        <v>24885.54</v>
      </c>
      <c r="I57" s="53">
        <f>PARAMETROS!$B$28</f>
        <v>24885.54</v>
      </c>
      <c r="J57" s="53">
        <f>PARAMETROS!$B$28</f>
        <v>24885.54</v>
      </c>
      <c r="K57" s="53">
        <f>PARAMETROS!$B$28</f>
        <v>24885.54</v>
      </c>
      <c r="L57" s="53">
        <f>PARAMETROS!$B$28</f>
        <v>24885.54</v>
      </c>
      <c r="M57" s="53">
        <f>PARAMETROS!$B$28</f>
        <v>24885.54</v>
      </c>
      <c r="N57" s="53">
        <f>PARAMETROS!$B$28</f>
        <v>24885.54</v>
      </c>
      <c r="O57" s="53">
        <f>PARAMETROS!$B$28</f>
        <v>24885.54</v>
      </c>
      <c r="P57" s="53">
        <f>PARAMETROS!$B$28</f>
        <v>24885.54</v>
      </c>
      <c r="Q57" s="53">
        <f>PARAMETROS!$B$28</f>
        <v>24885.54</v>
      </c>
      <c r="R57" s="53">
        <f>PARAMETROS!$B$28</f>
        <v>24885.54</v>
      </c>
      <c r="S57" s="53">
        <f>PARAMETROS!$B$28</f>
        <v>24885.54</v>
      </c>
    </row>
    <row r="58" spans="1:27" ht="14.25" customHeight="1" x14ac:dyDescent="0.3">
      <c r="A58" s="39" t="s">
        <v>267</v>
      </c>
      <c r="D58" s="54">
        <f t="shared" ref="D58:S58" si="20">D55-D57</f>
        <v>6549.760000000002</v>
      </c>
      <c r="E58" s="54">
        <f t="shared" si="20"/>
        <v>-1678.6857619047623</v>
      </c>
      <c r="F58" s="54">
        <f t="shared" si="20"/>
        <v>-5794.5465238095276</v>
      </c>
      <c r="G58" s="54">
        <f t="shared" si="20"/>
        <v>-20956.544285714292</v>
      </c>
      <c r="H58" s="54">
        <f t="shared" si="20"/>
        <v>-36632.866714285723</v>
      </c>
      <c r="I58" s="54">
        <f t="shared" si="20"/>
        <v>-40530.015142857155</v>
      </c>
      <c r="J58" s="54">
        <f t="shared" si="20"/>
        <v>-31874.882571428581</v>
      </c>
      <c r="K58" s="54">
        <f t="shared" si="20"/>
        <v>-39659.58600000001</v>
      </c>
      <c r="L58" s="54">
        <f t="shared" si="20"/>
        <v>-37638.250000000015</v>
      </c>
      <c r="M58" s="54">
        <f t="shared" si="20"/>
        <v>-30745.472000000012</v>
      </c>
      <c r="N58" s="54">
        <f t="shared" si="20"/>
        <v>-20161.768000000011</v>
      </c>
      <c r="O58" s="54">
        <f t="shared" si="20"/>
        <v>-16624.916000000012</v>
      </c>
      <c r="P58" s="54">
        <f t="shared" si="20"/>
        <v>-14603.580000000013</v>
      </c>
      <c r="Q58" s="54">
        <f t="shared" si="20"/>
        <v>-7710.8020000000142</v>
      </c>
      <c r="R58" s="54">
        <f t="shared" si="20"/>
        <v>2872.9019999999873</v>
      </c>
      <c r="S58" s="54">
        <f t="shared" si="20"/>
        <v>6409.7539999999863</v>
      </c>
    </row>
    <row r="59" spans="1:27" ht="14.25" customHeight="1" x14ac:dyDescent="0.3">
      <c r="A59" s="15" t="s">
        <v>268</v>
      </c>
      <c r="D59" s="55" t="str">
        <f t="shared" ref="D59:S59" si="21">IF(D55&lt;0,"🔴 NEGATIVO",IF(D55&lt;D57,"🟠 ALERTA","🟢 OK"))</f>
        <v>🟢 OK</v>
      </c>
      <c r="E59" s="55" t="str">
        <f t="shared" si="21"/>
        <v>🟠 ALERTA</v>
      </c>
      <c r="F59" s="55" t="str">
        <f t="shared" si="21"/>
        <v>🟠 ALERTA</v>
      </c>
      <c r="G59" s="55" t="str">
        <f t="shared" si="21"/>
        <v>🟠 ALERTA</v>
      </c>
      <c r="H59" s="55" t="str">
        <f t="shared" si="21"/>
        <v>🔴 NEGATIVO</v>
      </c>
      <c r="I59" s="55" t="str">
        <f t="shared" si="21"/>
        <v>🔴 NEGATIVO</v>
      </c>
      <c r="J59" s="55" t="str">
        <f t="shared" si="21"/>
        <v>🔴 NEGATIVO</v>
      </c>
      <c r="K59" s="55" t="str">
        <f t="shared" si="21"/>
        <v>🔴 NEGATIVO</v>
      </c>
      <c r="L59" s="55" t="str">
        <f t="shared" si="21"/>
        <v>🔴 NEGATIVO</v>
      </c>
      <c r="M59" s="55" t="str">
        <f t="shared" si="21"/>
        <v>🔴 NEGATIVO</v>
      </c>
      <c r="N59" s="55" t="str">
        <f t="shared" si="21"/>
        <v>🟠 ALERTA</v>
      </c>
      <c r="O59" s="55" t="str">
        <f t="shared" si="21"/>
        <v>🟠 ALERTA</v>
      </c>
      <c r="P59" s="55" t="str">
        <f t="shared" si="21"/>
        <v>🟠 ALERTA</v>
      </c>
      <c r="Q59" s="55" t="str">
        <f t="shared" si="21"/>
        <v>🟠 ALERTA</v>
      </c>
      <c r="R59" s="55" t="str">
        <f t="shared" si="21"/>
        <v>🟢 OK</v>
      </c>
      <c r="S59" s="55" t="str">
        <f t="shared" si="21"/>
        <v>🟢 OK</v>
      </c>
    </row>
    <row r="60" spans="1:27" ht="14.25" customHeight="1" x14ac:dyDescent="0.3"/>
    <row r="61" spans="1:27" ht="14.25" customHeight="1" x14ac:dyDescent="0.3">
      <c r="A61" s="39" t="s">
        <v>269</v>
      </c>
      <c r="D61" s="56">
        <f t="shared" ref="D61:R61" si="22">MIN(0,E55-E57)</f>
        <v>-1678.6857619047623</v>
      </c>
      <c r="E61" s="56">
        <f t="shared" si="22"/>
        <v>-5794.5465238095276</v>
      </c>
      <c r="F61" s="56">
        <f t="shared" si="22"/>
        <v>-20956.544285714292</v>
      </c>
      <c r="G61" s="56">
        <f t="shared" si="22"/>
        <v>-36632.866714285723</v>
      </c>
      <c r="H61" s="56">
        <f t="shared" si="22"/>
        <v>-40530.015142857155</v>
      </c>
      <c r="I61" s="56">
        <f t="shared" si="22"/>
        <v>-31874.882571428581</v>
      </c>
      <c r="J61" s="56">
        <f t="shared" si="22"/>
        <v>-39659.58600000001</v>
      </c>
      <c r="K61" s="56">
        <f t="shared" si="22"/>
        <v>-37638.250000000015</v>
      </c>
      <c r="L61" s="56">
        <f t="shared" si="22"/>
        <v>-30745.472000000012</v>
      </c>
      <c r="M61" s="56">
        <f t="shared" si="22"/>
        <v>-20161.768000000011</v>
      </c>
      <c r="N61" s="56">
        <f t="shared" si="22"/>
        <v>-16624.916000000012</v>
      </c>
      <c r="O61" s="56">
        <f t="shared" si="22"/>
        <v>-14603.580000000013</v>
      </c>
      <c r="P61" s="56">
        <f t="shared" si="22"/>
        <v>-7710.8020000000142</v>
      </c>
      <c r="Q61" s="56">
        <f t="shared" si="22"/>
        <v>0</v>
      </c>
      <c r="R61" s="56">
        <f t="shared" si="22"/>
        <v>0</v>
      </c>
      <c r="S61" s="55" t="s">
        <v>270</v>
      </c>
    </row>
    <row r="62" spans="1:27" ht="55.5" customHeight="1" x14ac:dyDescent="0.3">
      <c r="A62" s="57" t="s">
        <v>271</v>
      </c>
      <c r="B62" s="49"/>
      <c r="C62" s="49"/>
      <c r="D62" s="58" t="str">
        <f>IF(D61&lt;0,"Pedir "&amp;TEXT(-D61,"$#,#0")&amp;" ahora para SEM 38","No se requiere")</f>
        <v>Pedir $1678,69 ahora para SEM 38</v>
      </c>
      <c r="E62" s="58" t="str">
        <f t="shared" ref="E62:F62" si="23">IF(E61&lt;0,"Pedir "&amp;TEXT(-E61,"$#,#0")&amp;" ahora para SEM 39","No se requiere")</f>
        <v>Pedir $5794,55 ahora para SEM 39</v>
      </c>
      <c r="F62" s="58" t="str">
        <f t="shared" si="23"/>
        <v>Pedir $20956,54 ahora para SEM 39</v>
      </c>
      <c r="G62" s="58" t="str">
        <f>IF(G61&lt;0,"Pedir "&amp;TEXT(-G61,"$#,#0")&amp;" ahora para SEM 41","No se requiere")</f>
        <v>Pedir $36632,87 ahora para SEM 41</v>
      </c>
      <c r="H62" s="58" t="str">
        <f>IF(H61&lt;0,"Pedir "&amp;TEXT(-H61,"$#,#0")&amp;" ahora para SEM 42","No se requiere")</f>
        <v>Pedir $40530,02 ahora para SEM 42</v>
      </c>
      <c r="I62" s="58" t="str">
        <f>IF(I61&lt;0,"Pedir "&amp;TEXT(-I61,"$#,#0")&amp;" ahora para SEM 43","No se requiere")</f>
        <v>Pedir $31874,88 ahora para SEM 43</v>
      </c>
      <c r="J62" s="58" t="str">
        <f>IF(J61&lt;0,"Pedir "&amp;TEXT(-J61,"$#,#0")&amp;" ahora para SEM 44","No se requiere")</f>
        <v>Pedir $39659,59 ahora para SEM 44</v>
      </c>
      <c r="K62" s="58" t="str">
        <f>IF(K61&lt;0,"Pedir "&amp;TEXT(-K61,"$#,#0")&amp;" ahora para SEM 45","No se requiere")</f>
        <v>Pedir $37638,25 ahora para SEM 45</v>
      </c>
      <c r="L62" s="58" t="str">
        <f>IF(L61&lt;0,"Pedir "&amp;TEXT(-L61,"$#,#0")&amp;" ahora para SEM 46","No se requiere")</f>
        <v>Pedir $30745,47 ahora para SEM 46</v>
      </c>
      <c r="M62" s="58" t="str">
        <f>IF(M61&lt;0,"Pedir "&amp;TEXT(-M61,"$#,#0")&amp;" ahora para SEM 47","No se requiere")</f>
        <v>Pedir $20161,77 ahora para SEM 47</v>
      </c>
      <c r="N62" s="58" t="str">
        <f>IF(N61&lt;0,"Pedir "&amp;TEXT(-N61,"$#,#0")&amp;" ahora para SEM 48","No se requiere")</f>
        <v>Pedir $16624,92 ahora para SEM 48</v>
      </c>
      <c r="O62" s="58" t="str">
        <f>IF(O61&lt;0,"Pedir "&amp;TEXT(-O61,"$#,#0")&amp;" ahora para SEM 49","No se requiere")</f>
        <v>Pedir $14603,58 ahora para SEM 49</v>
      </c>
      <c r="P62" s="58" t="str">
        <f>IF(P61&lt;0,"Pedir "&amp;TEXT(-P61,"$#,#0")&amp;" ahora para SEM 50","No se requiere")</f>
        <v>Pedir $7710,80 ahora para SEM 50</v>
      </c>
      <c r="Q62" s="58" t="str">
        <f>IF(Q61&lt;0,"Pedir "&amp;TEXT(-Q61,"$#,#0")&amp;" ahora para SEM 51","No se requiere")</f>
        <v>No se requiere</v>
      </c>
      <c r="R62" s="58" t="str">
        <f t="shared" ref="R62:S62" si="24">IF(R61&lt;0,"Pedir "&amp;TEXT(-R61,"$#,#0")&amp;" ahora para SEM 52","No se requiere")</f>
        <v>No se requiere</v>
      </c>
      <c r="S62" s="58" t="str">
        <f t="shared" si="24"/>
        <v>No se requiere</v>
      </c>
      <c r="T62" s="49"/>
      <c r="U62" s="49"/>
      <c r="V62" s="49"/>
      <c r="W62" s="49"/>
      <c r="X62" s="49"/>
      <c r="Y62" s="49"/>
      <c r="Z62" s="49"/>
      <c r="AA62" s="49"/>
    </row>
    <row r="63" spans="1:27" ht="14.25" customHeight="1" x14ac:dyDescent="0.3"/>
    <row r="64" spans="1:27" ht="14.25" customHeight="1" x14ac:dyDescent="0.3"/>
    <row r="65" spans="4:4" ht="14.25" customHeight="1" x14ac:dyDescent="0.3"/>
    <row r="66" spans="4:4" ht="14.25" customHeight="1" x14ac:dyDescent="0.3"/>
    <row r="67" spans="4:4" ht="14.25" customHeight="1" x14ac:dyDescent="0.3">
      <c r="D67">
        <f>(+B30+B31+B34+B29+B32)*8</f>
        <v>87188.159999999989</v>
      </c>
    </row>
    <row r="68" spans="4:4" ht="14.25" customHeight="1" x14ac:dyDescent="0.3"/>
    <row r="69" spans="4:4" ht="14.25" customHeight="1" x14ac:dyDescent="0.3"/>
    <row r="70" spans="4:4" ht="14.25" customHeight="1" x14ac:dyDescent="0.3"/>
    <row r="71" spans="4:4" ht="14.25" customHeight="1" x14ac:dyDescent="0.3"/>
    <row r="72" spans="4:4" ht="14.25" customHeight="1" x14ac:dyDescent="0.3"/>
    <row r="73" spans="4:4" ht="14.25" customHeight="1" x14ac:dyDescent="0.3"/>
    <row r="74" spans="4:4" ht="14.25" customHeight="1" x14ac:dyDescent="0.3"/>
    <row r="75" spans="4:4" ht="14.25" customHeight="1" x14ac:dyDescent="0.3"/>
    <row r="76" spans="4:4" ht="14.25" customHeight="1" x14ac:dyDescent="0.3"/>
    <row r="77" spans="4:4" ht="14.25" customHeight="1" x14ac:dyDescent="0.3"/>
    <row r="78" spans="4:4" ht="14.25" customHeight="1" x14ac:dyDescent="0.3"/>
    <row r="79" spans="4:4" ht="14.25" customHeight="1" x14ac:dyDescent="0.3"/>
    <row r="80" spans="4:4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conditionalFormatting sqref="D55:S55">
    <cfRule type="expression" dxfId="7" priority="2">
      <formula>D55&lt;0</formula>
    </cfRule>
    <cfRule type="expression" dxfId="6" priority="3">
      <formula>AND(D55&gt;=0,D55&lt;D57)</formula>
    </cfRule>
    <cfRule type="expression" dxfId="5" priority="4">
      <formula>D55&gt;=D57</formula>
    </cfRule>
  </conditionalFormatting>
  <conditionalFormatting sqref="D62:S62">
    <cfRule type="expression" dxfId="4" priority="1">
      <formula>LEFT(D62,4)="Pedi"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3F3E-AABE-4266-A674-E802D6AD8992}">
  <sheetPr>
    <tabColor theme="8" tint="0.39997558519241921"/>
  </sheetPr>
  <dimension ref="B3:L6"/>
  <sheetViews>
    <sheetView showGridLines="0" workbookViewId="0"/>
  </sheetViews>
  <sheetFormatPr baseColWidth="10" defaultRowHeight="14.4" x14ac:dyDescent="0.3"/>
  <cols>
    <col min="3" max="5" width="14.33203125" bestFit="1" customWidth="1"/>
    <col min="6" max="6" width="14.109375" bestFit="1" customWidth="1"/>
    <col min="7" max="9" width="13.88671875" bestFit="1" customWidth="1"/>
    <col min="10" max="10" width="14.44140625" bestFit="1" customWidth="1"/>
    <col min="11" max="12" width="15" bestFit="1" customWidth="1"/>
  </cols>
  <sheetData>
    <row r="3" spans="2:12" x14ac:dyDescent="0.3">
      <c r="B3" s="60" t="str">
        <f>+'FLUJO SEMANAL'!A4</f>
        <v>CONCEPTO</v>
      </c>
      <c r="C3" s="60" t="str">
        <f>+'FLUJO SEMANAL'!D5</f>
        <v>07-Sep / 13-Sep</v>
      </c>
      <c r="D3" s="60" t="str">
        <f>+'FLUJO SEMANAL'!E5</f>
        <v>14-Sep / 20-Sep</v>
      </c>
      <c r="E3" s="60" t="str">
        <f>+'FLUJO SEMANAL'!F5</f>
        <v>21-Sep / 27-Sep</v>
      </c>
      <c r="F3" s="60" t="str">
        <f>+'FLUJO SEMANAL'!G5</f>
        <v>28-Sep / 04-Oct</v>
      </c>
      <c r="G3" s="60" t="str">
        <f>+'FLUJO SEMANAL'!H5</f>
        <v>05-Oct / 11-Oct</v>
      </c>
      <c r="H3" s="60" t="str">
        <f>+'FLUJO SEMANAL'!I5</f>
        <v>12-Oct / 18-Oct</v>
      </c>
      <c r="I3" s="60" t="str">
        <f>+'FLUJO SEMANAL'!J5</f>
        <v>19-Oct / 25-Oct</v>
      </c>
      <c r="J3" s="60" t="str">
        <f>+'FLUJO SEMANAL'!K5</f>
        <v>26-Oct / 01-Nov</v>
      </c>
      <c r="K3" s="60" t="str">
        <f>+'FLUJO SEMANAL'!L5</f>
        <v>02-Nov / 08-Nov</v>
      </c>
      <c r="L3" s="60" t="str">
        <f>+'FLUJO SEMANAL'!M5</f>
        <v>09-Nov / 15-Nov</v>
      </c>
    </row>
    <row r="4" spans="2:12" x14ac:dyDescent="0.3">
      <c r="B4" s="60" t="str">
        <f>+'FLUJO SEMANAL'!A11</f>
        <v>TOTAL INGRESOS</v>
      </c>
      <c r="C4" s="62">
        <f>+'FLUJO SEMANAL'!D6</f>
        <v>19669.46</v>
      </c>
      <c r="D4" s="62">
        <f>+'FLUJO SEMANAL'!E6</f>
        <v>31435.300000000003</v>
      </c>
      <c r="E4" s="62">
        <f>+'FLUJO SEMANAL'!F6</f>
        <v>23206.854238095239</v>
      </c>
      <c r="F4" s="62">
        <f>+'FLUJO SEMANAL'!G6</f>
        <v>19090.993476190473</v>
      </c>
      <c r="G4" s="62">
        <f>+'FLUJO SEMANAL'!H6</f>
        <v>3928.9957142857093</v>
      </c>
      <c r="H4" s="62">
        <f>+'FLUJO SEMANAL'!I6</f>
        <v>-11747.326714285722</v>
      </c>
      <c r="I4" s="62">
        <f>+'FLUJO SEMANAL'!J6</f>
        <v>-15644.475142857151</v>
      </c>
      <c r="J4" s="62">
        <f>+'FLUJO SEMANAL'!K6</f>
        <v>-6989.3425714285804</v>
      </c>
      <c r="K4" s="62">
        <f>+'FLUJO SEMANAL'!L6</f>
        <v>-14774.046000000009</v>
      </c>
      <c r="L4" s="62">
        <f>+'FLUJO SEMANAL'!M6</f>
        <v>-12752.71000000001</v>
      </c>
    </row>
    <row r="5" spans="2:12" x14ac:dyDescent="0.3">
      <c r="B5" s="60" t="str">
        <f>+'FLUJO SEMANAL'!A53</f>
        <v>TOTAL EGRESOS (fijos + obra)</v>
      </c>
      <c r="C5" s="62">
        <f>+'FLUJO SEMANAL'!D53</f>
        <v>13199.859999999999</v>
      </c>
      <c r="D5" s="62">
        <f>+'FLUJO SEMANAL'!E53</f>
        <v>16166.223761904765</v>
      </c>
      <c r="E5" s="62">
        <f>+'FLUJO SEMANAL'!F53</f>
        <v>14699.564761904763</v>
      </c>
      <c r="F5" s="62">
        <f>+'FLUJO SEMANAL'!G53</f>
        <v>20453.849761904763</v>
      </c>
      <c r="G5" s="62">
        <f>+'FLUJO SEMANAL'!H53</f>
        <v>18322.248428571431</v>
      </c>
      <c r="H5" s="62">
        <f>+'FLUJO SEMANAL'!I53</f>
        <v>11834.926428571429</v>
      </c>
      <c r="I5" s="62">
        <f>+'FLUJO SEMANAL'!J53</f>
        <v>1928.5714285714284</v>
      </c>
      <c r="J5" s="62">
        <f>+'FLUJO SEMANAL'!K53</f>
        <v>13076.555428571428</v>
      </c>
      <c r="K5" s="62">
        <f>+'FLUJO SEMANAL'!L53</f>
        <v>624.59</v>
      </c>
      <c r="L5" s="62">
        <f>+'FLUJO SEMANAL'!M53</f>
        <v>1045</v>
      </c>
    </row>
    <row r="6" spans="2:12" x14ac:dyDescent="0.3">
      <c r="B6" s="60" t="str">
        <f>+'FLUJO SEMANAL'!A55</f>
        <v>SALDO FINAL DE CAJA</v>
      </c>
      <c r="C6" s="62">
        <f>+'FLUJO SEMANAL'!D55</f>
        <v>31435.300000000003</v>
      </c>
      <c r="D6" s="62">
        <f>+'FLUJO SEMANAL'!E55</f>
        <v>23206.854238095239</v>
      </c>
      <c r="E6" s="62">
        <f>+'FLUJO SEMANAL'!F55</f>
        <v>19090.993476190473</v>
      </c>
      <c r="F6" s="62">
        <f>+'FLUJO SEMANAL'!G55</f>
        <v>3928.9957142857093</v>
      </c>
      <c r="G6" s="62">
        <f>+'FLUJO SEMANAL'!H55</f>
        <v>-11747.326714285722</v>
      </c>
      <c r="H6" s="62">
        <f>+'FLUJO SEMANAL'!I55</f>
        <v>-15644.475142857151</v>
      </c>
      <c r="I6" s="62">
        <f>+'FLUJO SEMANAL'!J55</f>
        <v>-6989.3425714285804</v>
      </c>
      <c r="J6" s="62">
        <f>+'FLUJO SEMANAL'!K55</f>
        <v>-14774.046000000009</v>
      </c>
      <c r="K6" s="62">
        <f>+'FLUJO SEMANAL'!L55</f>
        <v>-12752.71000000001</v>
      </c>
      <c r="L6" s="62">
        <f>+'FLUJO SEMANAL'!M55</f>
        <v>-5859.9320000000107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1000"/>
  <sheetViews>
    <sheetView showGridLines="0" workbookViewId="0"/>
  </sheetViews>
  <sheetFormatPr baseColWidth="10" defaultColWidth="14.44140625" defaultRowHeight="15" customHeight="1" x14ac:dyDescent="0.3"/>
  <cols>
    <col min="1" max="1" width="55" customWidth="1"/>
    <col min="2" max="3" width="18" customWidth="1"/>
    <col min="4" max="4" width="45" customWidth="1"/>
    <col min="5" max="5" width="14" customWidth="1"/>
    <col min="6" max="26" width="8.88671875" customWidth="1"/>
  </cols>
  <sheetData>
    <row r="1" spans="1:4" ht="14.25" customHeight="1" x14ac:dyDescent="0.35">
      <c r="A1" s="3" t="s">
        <v>198</v>
      </c>
    </row>
    <row r="2" spans="1:4" ht="14.25" customHeight="1" x14ac:dyDescent="0.3">
      <c r="A2" s="5" t="s">
        <v>200</v>
      </c>
    </row>
    <row r="3" spans="1:4" ht="14.25" customHeight="1" x14ac:dyDescent="0.3"/>
    <row r="4" spans="1:4" ht="14.25" customHeight="1" x14ac:dyDescent="0.3">
      <c r="A4" s="137" t="s">
        <v>201</v>
      </c>
      <c r="B4" s="131"/>
      <c r="C4" s="131"/>
      <c r="D4" s="132"/>
    </row>
    <row r="5" spans="1:4" ht="14.25" customHeight="1" x14ac:dyDescent="0.3">
      <c r="A5" s="12" t="s">
        <v>203</v>
      </c>
      <c r="B5" s="35">
        <f>PARAMETROS!B11</f>
        <v>19669.46</v>
      </c>
    </row>
    <row r="6" spans="1:4" ht="14.25" customHeight="1" x14ac:dyDescent="0.3">
      <c r="A6" s="12" t="s">
        <v>210</v>
      </c>
      <c r="B6" s="35">
        <f>PARAMETROS!B28</f>
        <v>24885.54</v>
      </c>
    </row>
    <row r="7" spans="1:4" ht="14.25" customHeight="1" x14ac:dyDescent="0.3">
      <c r="A7" s="12" t="s">
        <v>216</v>
      </c>
      <c r="B7" s="40">
        <f>B5-B6</f>
        <v>-5216.0800000000017</v>
      </c>
    </row>
    <row r="8" spans="1:4" ht="14.25" customHeight="1" x14ac:dyDescent="0.3">
      <c r="A8" s="12" t="s">
        <v>220</v>
      </c>
      <c r="B8" s="41">
        <f>PARAMETROS!B11/PARAMETROS!B25</f>
        <v>1.1855957314970862</v>
      </c>
    </row>
    <row r="9" spans="1:4" ht="14.25" customHeight="1" x14ac:dyDescent="0.3"/>
    <row r="10" spans="1:4" ht="14.25" customHeight="1" x14ac:dyDescent="0.3">
      <c r="A10" s="137" t="s">
        <v>223</v>
      </c>
      <c r="B10" s="131"/>
      <c r="C10" s="131"/>
      <c r="D10" s="132"/>
    </row>
    <row r="11" spans="1:4" ht="14.25" customHeight="1" x14ac:dyDescent="0.3">
      <c r="A11" s="12" t="s">
        <v>226</v>
      </c>
      <c r="B11" s="35">
        <f>PARAMETROS!C15</f>
        <v>6089.5880322209432</v>
      </c>
    </row>
    <row r="12" spans="1:4" ht="14.25" customHeight="1" x14ac:dyDescent="0.3">
      <c r="A12" s="12" t="s">
        <v>231</v>
      </c>
      <c r="B12" s="35">
        <f>-PARAMETROS!C25</f>
        <v>-3818.2646720368239</v>
      </c>
    </row>
    <row r="13" spans="1:4" ht="14.25" customHeight="1" x14ac:dyDescent="0.3">
      <c r="A13" s="16" t="s">
        <v>234</v>
      </c>
      <c r="B13" s="42">
        <f>B11+B12</f>
        <v>2271.3233601841193</v>
      </c>
    </row>
    <row r="14" spans="1:4" ht="14.25" customHeight="1" x14ac:dyDescent="0.3">
      <c r="A14" s="12" t="s">
        <v>235</v>
      </c>
      <c r="B14" s="35">
        <v>10088.129999999999</v>
      </c>
    </row>
    <row r="15" spans="1:4" ht="14.25" customHeight="1" x14ac:dyDescent="0.3">
      <c r="A15" s="16" t="s">
        <v>236</v>
      </c>
      <c r="B15" s="43">
        <f>B14/B13</f>
        <v>4.441520822989391</v>
      </c>
    </row>
    <row r="16" spans="1:4" ht="14.25" customHeight="1" x14ac:dyDescent="0.3"/>
    <row r="17" spans="1:4" ht="14.25" customHeight="1" x14ac:dyDescent="0.3">
      <c r="A17" s="137" t="s">
        <v>237</v>
      </c>
      <c r="B17" s="131"/>
      <c r="C17" s="131"/>
      <c r="D17" s="132"/>
    </row>
    <row r="18" spans="1:4" ht="14.25" customHeight="1" x14ac:dyDescent="0.3">
      <c r="A18" s="12" t="s">
        <v>238</v>
      </c>
      <c r="B18" s="44">
        <f>-MIN(0,'FLUJO SEMANAL'!D61)</f>
        <v>1678.6857619047623</v>
      </c>
    </row>
    <row r="19" spans="1:4" ht="14.25" customHeight="1" x14ac:dyDescent="0.3">
      <c r="A19" s="12" t="s">
        <v>239</v>
      </c>
      <c r="B19" s="45">
        <f>-MIN(0,MIN('FLUJO SEMANAL'!D61:S61))</f>
        <v>40530.015142857155</v>
      </c>
    </row>
    <row r="20" spans="1:4" ht="14.25" customHeight="1" x14ac:dyDescent="0.3">
      <c r="A20" s="138" t="s">
        <v>240</v>
      </c>
      <c r="B20" s="134"/>
      <c r="C20" s="134"/>
      <c r="D20" s="134"/>
    </row>
    <row r="21" spans="1:4" ht="14.25" customHeight="1" x14ac:dyDescent="0.3">
      <c r="A21" s="12" t="s">
        <v>241</v>
      </c>
      <c r="B21" s="12">
        <f>SUMPRODUCT(--('FLUJO SEMANAL'!D61:S61&lt;0))</f>
        <v>13</v>
      </c>
    </row>
    <row r="22" spans="1:4" ht="14.25" customHeight="1" x14ac:dyDescent="0.3">
      <c r="A22" s="12" t="s">
        <v>242</v>
      </c>
      <c r="B22" s="35">
        <f>PARAMETROS!B39</f>
        <v>115798.53</v>
      </c>
    </row>
    <row r="23" spans="1:4" ht="14.25" customHeight="1" x14ac:dyDescent="0.3"/>
    <row r="24" spans="1:4" ht="14.25" customHeight="1" x14ac:dyDescent="0.3">
      <c r="A24" s="137" t="s">
        <v>243</v>
      </c>
      <c r="B24" s="131"/>
      <c r="C24" s="131"/>
      <c r="D24" s="132"/>
    </row>
    <row r="25" spans="1:4" ht="14.25" customHeight="1" x14ac:dyDescent="0.3">
      <c r="A25" s="133" t="s">
        <v>244</v>
      </c>
      <c r="B25" s="134"/>
      <c r="C25" s="134"/>
      <c r="D25" s="134"/>
    </row>
    <row r="26" spans="1:4" ht="14.25" customHeight="1" x14ac:dyDescent="0.3">
      <c r="A26" s="133" t="s">
        <v>245</v>
      </c>
      <c r="B26" s="134"/>
      <c r="C26" s="134"/>
      <c r="D26" s="134"/>
    </row>
    <row r="27" spans="1:4" ht="14.25" customHeight="1" x14ac:dyDescent="0.3">
      <c r="A27" s="133" t="s">
        <v>246</v>
      </c>
      <c r="B27" s="134"/>
      <c r="C27" s="134"/>
      <c r="D27" s="134"/>
    </row>
    <row r="28" spans="1:4" ht="14.25" customHeight="1" x14ac:dyDescent="0.3">
      <c r="A28" s="133" t="s">
        <v>247</v>
      </c>
      <c r="B28" s="134"/>
      <c r="C28" s="134"/>
      <c r="D28" s="134"/>
    </row>
    <row r="29" spans="1:4" ht="14.25" customHeight="1" x14ac:dyDescent="0.3">
      <c r="A29" s="133" t="s">
        <v>248</v>
      </c>
      <c r="B29" s="134"/>
      <c r="C29" s="134"/>
      <c r="D29" s="134"/>
    </row>
    <row r="30" spans="1:4" ht="14.25" customHeight="1" x14ac:dyDescent="0.3">
      <c r="A30" s="133"/>
      <c r="B30" s="134"/>
      <c r="C30" s="134"/>
      <c r="D30" s="134"/>
    </row>
    <row r="31" spans="1:4" ht="14.25" customHeight="1" x14ac:dyDescent="0.3">
      <c r="A31" s="133" t="s">
        <v>249</v>
      </c>
      <c r="B31" s="134"/>
      <c r="C31" s="134"/>
      <c r="D31" s="134"/>
    </row>
    <row r="32" spans="1:4" ht="14.25" customHeight="1" x14ac:dyDescent="0.3">
      <c r="A32" s="133" t="s">
        <v>250</v>
      </c>
      <c r="B32" s="134"/>
      <c r="C32" s="134"/>
      <c r="D32" s="134"/>
    </row>
    <row r="33" spans="1:4" ht="14.25" customHeight="1" x14ac:dyDescent="0.3">
      <c r="A33" s="133" t="s">
        <v>251</v>
      </c>
      <c r="B33" s="134"/>
      <c r="C33" s="134"/>
      <c r="D33" s="134"/>
    </row>
    <row r="34" spans="1:4" ht="14.25" customHeight="1" x14ac:dyDescent="0.3">
      <c r="A34" s="133" t="s">
        <v>252</v>
      </c>
      <c r="B34" s="134"/>
      <c r="C34" s="134"/>
      <c r="D34" s="134"/>
    </row>
    <row r="35" spans="1:4" ht="14.25" customHeight="1" x14ac:dyDescent="0.3">
      <c r="A35" s="133"/>
      <c r="B35" s="134"/>
      <c r="C35" s="134"/>
      <c r="D35" s="134"/>
    </row>
    <row r="36" spans="1:4" ht="14.25" customHeight="1" x14ac:dyDescent="0.3">
      <c r="A36" s="133" t="s">
        <v>253</v>
      </c>
      <c r="B36" s="134"/>
      <c r="C36" s="134"/>
      <c r="D36" s="134"/>
    </row>
    <row r="37" spans="1:4" ht="14.25" customHeight="1" x14ac:dyDescent="0.3">
      <c r="A37" s="133" t="s">
        <v>254</v>
      </c>
      <c r="B37" s="134"/>
      <c r="C37" s="134"/>
      <c r="D37" s="134"/>
    </row>
    <row r="38" spans="1:4" ht="14.25" customHeight="1" x14ac:dyDescent="0.3">
      <c r="A38" s="133" t="s">
        <v>255</v>
      </c>
      <c r="B38" s="134"/>
      <c r="C38" s="134"/>
      <c r="D38" s="134"/>
    </row>
    <row r="39" spans="1:4" ht="14.25" customHeight="1" x14ac:dyDescent="0.3"/>
    <row r="40" spans="1:4" ht="14.25" customHeight="1" x14ac:dyDescent="0.3"/>
    <row r="41" spans="1:4" ht="14.25" customHeight="1" x14ac:dyDescent="0.3"/>
    <row r="42" spans="1:4" ht="14.25" customHeight="1" x14ac:dyDescent="0.3"/>
    <row r="43" spans="1:4" ht="14.25" customHeight="1" x14ac:dyDescent="0.3"/>
    <row r="44" spans="1:4" ht="14.25" customHeight="1" x14ac:dyDescent="0.3"/>
    <row r="45" spans="1:4" ht="14.25" customHeight="1" x14ac:dyDescent="0.3"/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9">
    <mergeCell ref="A4:D4"/>
    <mergeCell ref="A10:D10"/>
    <mergeCell ref="A17:D17"/>
    <mergeCell ref="A20:D20"/>
    <mergeCell ref="A24:D24"/>
    <mergeCell ref="A25:D25"/>
    <mergeCell ref="A26:D26"/>
    <mergeCell ref="A34:D34"/>
    <mergeCell ref="A35:D35"/>
    <mergeCell ref="A36:D36"/>
    <mergeCell ref="A37:D37"/>
    <mergeCell ref="A38:D38"/>
    <mergeCell ref="A27:D27"/>
    <mergeCell ref="A28:D28"/>
    <mergeCell ref="A29:D29"/>
    <mergeCell ref="A30:D30"/>
    <mergeCell ref="A31:D31"/>
    <mergeCell ref="A32:D32"/>
    <mergeCell ref="A33:D33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2E40-7A90-45BE-9722-91D8E253A704}">
  <sheetPr>
    <tabColor rgb="FFC00000"/>
  </sheetPr>
  <dimension ref="A1:AQ1018"/>
  <sheetViews>
    <sheetView showGridLines="0" tabSelected="1" zoomScaleNormal="10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F33" sqref="F33"/>
    </sheetView>
  </sheetViews>
  <sheetFormatPr baseColWidth="10" defaultColWidth="14.44140625" defaultRowHeight="15" customHeight="1" x14ac:dyDescent="0.3"/>
  <cols>
    <col min="1" max="1" width="48.88671875" customWidth="1"/>
    <col min="2" max="2" width="13" customWidth="1"/>
    <col min="3" max="3" width="12.5546875" bestFit="1" customWidth="1"/>
    <col min="4" max="35" width="12.44140625" customWidth="1"/>
    <col min="36" max="36" width="14" customWidth="1"/>
    <col min="37" max="37" width="14.77734375" customWidth="1"/>
    <col min="38" max="43" width="8.88671875" customWidth="1"/>
  </cols>
  <sheetData>
    <row r="1" spans="1:43" ht="14.25" customHeight="1" x14ac:dyDescent="0.35">
      <c r="A1" s="100" t="s">
        <v>344</v>
      </c>
    </row>
    <row r="2" spans="1:43" ht="14.25" customHeight="1" x14ac:dyDescent="0.3">
      <c r="A2" s="6" t="s">
        <v>6</v>
      </c>
    </row>
    <row r="3" spans="1:43" ht="14.25" customHeight="1" x14ac:dyDescent="0.3"/>
    <row r="4" spans="1:43" ht="14.25" customHeight="1" x14ac:dyDescent="0.3">
      <c r="A4" s="9" t="s">
        <v>11</v>
      </c>
      <c r="B4" s="9" t="s">
        <v>18</v>
      </c>
      <c r="C4" s="69" t="s">
        <v>292</v>
      </c>
      <c r="D4" s="9" t="s">
        <v>20</v>
      </c>
      <c r="E4" s="9" t="s">
        <v>22</v>
      </c>
      <c r="F4" s="9" t="s">
        <v>24</v>
      </c>
      <c r="G4" s="9" t="s">
        <v>27</v>
      </c>
      <c r="H4" s="9" t="s">
        <v>29</v>
      </c>
      <c r="I4" s="9" t="s">
        <v>32</v>
      </c>
      <c r="J4" s="9" t="s">
        <v>33</v>
      </c>
      <c r="K4" s="9" t="s">
        <v>35</v>
      </c>
      <c r="L4" s="9" t="s">
        <v>37</v>
      </c>
      <c r="M4" s="9" t="s">
        <v>38</v>
      </c>
      <c r="N4" s="9" t="s">
        <v>40</v>
      </c>
      <c r="O4" s="9" t="s">
        <v>43</v>
      </c>
      <c r="P4" s="9" t="s">
        <v>44</v>
      </c>
      <c r="Q4" s="9" t="s">
        <v>47</v>
      </c>
      <c r="R4" s="9" t="s">
        <v>49</v>
      </c>
      <c r="S4" s="9" t="s">
        <v>52</v>
      </c>
      <c r="T4" s="69" t="s">
        <v>293</v>
      </c>
      <c r="U4" s="69" t="s">
        <v>294</v>
      </c>
      <c r="V4" s="69" t="s">
        <v>295</v>
      </c>
      <c r="W4" s="69" t="s">
        <v>296</v>
      </c>
      <c r="X4" s="69" t="s">
        <v>297</v>
      </c>
      <c r="Y4" s="69" t="s">
        <v>298</v>
      </c>
      <c r="Z4" s="69" t="s">
        <v>299</v>
      </c>
      <c r="AA4" s="69" t="s">
        <v>300</v>
      </c>
      <c r="AB4" s="69" t="s">
        <v>301</v>
      </c>
      <c r="AC4" s="69" t="s">
        <v>302</v>
      </c>
      <c r="AD4" s="69" t="s">
        <v>303</v>
      </c>
      <c r="AE4" s="69" t="s">
        <v>304</v>
      </c>
      <c r="AF4" s="69" t="s">
        <v>305</v>
      </c>
      <c r="AG4" s="69" t="s">
        <v>306</v>
      </c>
      <c r="AH4" s="69" t="s">
        <v>307</v>
      </c>
      <c r="AI4" s="69" t="s">
        <v>308</v>
      </c>
      <c r="AJ4" s="9" t="s">
        <v>55</v>
      </c>
      <c r="AK4" s="9" t="s">
        <v>58</v>
      </c>
    </row>
    <row r="5" spans="1:43" s="104" customFormat="1" ht="29.4" customHeight="1" x14ac:dyDescent="0.3">
      <c r="A5" s="15" t="s">
        <v>61</v>
      </c>
      <c r="B5" s="102"/>
      <c r="C5" s="102"/>
      <c r="D5" s="103" t="s">
        <v>66</v>
      </c>
      <c r="E5" s="103" t="s">
        <v>69</v>
      </c>
      <c r="F5" s="103" t="s">
        <v>71</v>
      </c>
      <c r="G5" s="71" t="s">
        <v>319</v>
      </c>
      <c r="H5" s="71" t="s">
        <v>319</v>
      </c>
      <c r="I5" s="71" t="s">
        <v>319</v>
      </c>
      <c r="J5" s="71" t="s">
        <v>319</v>
      </c>
      <c r="K5" s="71" t="s">
        <v>317</v>
      </c>
      <c r="L5" s="71" t="s">
        <v>317</v>
      </c>
      <c r="M5" s="71" t="s">
        <v>317</v>
      </c>
      <c r="N5" s="71" t="s">
        <v>317</v>
      </c>
      <c r="O5" s="71" t="s">
        <v>317</v>
      </c>
      <c r="P5" s="71" t="s">
        <v>318</v>
      </c>
      <c r="Q5" s="71" t="s">
        <v>318</v>
      </c>
      <c r="R5" s="71" t="s">
        <v>318</v>
      </c>
      <c r="S5" s="71" t="s">
        <v>318</v>
      </c>
      <c r="T5" s="71" t="s">
        <v>309</v>
      </c>
      <c r="U5" s="71" t="s">
        <v>309</v>
      </c>
      <c r="V5" s="71" t="s">
        <v>309</v>
      </c>
      <c r="W5" s="71" t="s">
        <v>309</v>
      </c>
      <c r="X5" s="71" t="s">
        <v>310</v>
      </c>
      <c r="Y5" s="71" t="s">
        <v>310</v>
      </c>
      <c r="Z5" s="71" t="s">
        <v>310</v>
      </c>
      <c r="AA5" s="71" t="s">
        <v>310</v>
      </c>
      <c r="AB5" s="71" t="s">
        <v>311</v>
      </c>
      <c r="AC5" s="71" t="s">
        <v>311</v>
      </c>
      <c r="AD5" s="71" t="s">
        <v>311</v>
      </c>
      <c r="AE5" s="71" t="s">
        <v>311</v>
      </c>
      <c r="AF5" s="71" t="s">
        <v>312</v>
      </c>
      <c r="AG5" s="71" t="s">
        <v>312</v>
      </c>
      <c r="AH5" s="71" t="s">
        <v>312</v>
      </c>
      <c r="AI5" s="71" t="s">
        <v>312</v>
      </c>
      <c r="AJ5" s="102"/>
      <c r="AK5" s="102"/>
      <c r="AL5" s="102"/>
      <c r="AM5" s="102"/>
      <c r="AN5" s="102"/>
      <c r="AO5" s="102"/>
      <c r="AP5" s="102"/>
      <c r="AQ5" s="102"/>
    </row>
    <row r="6" spans="1:43" ht="14.25" customHeight="1" x14ac:dyDescent="0.3">
      <c r="A6" s="24" t="s">
        <v>91</v>
      </c>
      <c r="B6" s="25"/>
      <c r="C6" s="25"/>
      <c r="D6" s="29">
        <f>PARAMETROS!$B$11</f>
        <v>19669.46</v>
      </c>
      <c r="E6" s="29">
        <f t="shared" ref="E6:S6" si="0">D70</f>
        <v>31435.3</v>
      </c>
      <c r="F6" s="29">
        <f t="shared" si="0"/>
        <v>39154.369999999995</v>
      </c>
      <c r="G6" s="29">
        <f t="shared" si="0"/>
        <v>43995.369999999995</v>
      </c>
      <c r="H6" s="29">
        <f t="shared" si="0"/>
        <v>36736.510571428567</v>
      </c>
      <c r="I6" s="29">
        <f t="shared" si="0"/>
        <v>58093.213142857137</v>
      </c>
      <c r="J6" s="29">
        <f t="shared" si="0"/>
        <v>56972.639714285709</v>
      </c>
      <c r="K6" s="29">
        <f t="shared" si="0"/>
        <v>64429.88228571428</v>
      </c>
      <c r="L6" s="29">
        <f t="shared" si="0"/>
        <v>57680.178857142855</v>
      </c>
      <c r="M6" s="29">
        <f t="shared" si="0"/>
        <v>45683.568222527472</v>
      </c>
      <c r="N6" s="29">
        <f>M70</f>
        <v>39486.969587912092</v>
      </c>
      <c r="O6" s="29">
        <f>N70</f>
        <v>36981.296953296711</v>
      </c>
      <c r="P6" s="29">
        <f t="shared" si="0"/>
        <v>33973.460635989017</v>
      </c>
      <c r="Q6" s="29">
        <f t="shared" si="0"/>
        <v>52905.420001373634</v>
      </c>
      <c r="R6" s="29">
        <f t="shared" si="0"/>
        <v>46708.821366758253</v>
      </c>
      <c r="S6" s="29">
        <f t="shared" si="0"/>
        <v>47203.148732142872</v>
      </c>
      <c r="T6" s="29">
        <f t="shared" ref="T6" si="1">S70</f>
        <v>43650.624097527492</v>
      </c>
      <c r="U6" s="29">
        <f t="shared" ref="U6" si="2">T70</f>
        <v>34787.583462912109</v>
      </c>
      <c r="V6" s="29">
        <f t="shared" ref="V6" si="3">U70</f>
        <v>36402.134828296723</v>
      </c>
      <c r="W6" s="29">
        <f t="shared" ref="W6" si="4">V70</f>
        <v>39896.462193681342</v>
      </c>
      <c r="X6" s="29">
        <f t="shared" ref="X6" si="5">W70</f>
        <v>36343.937559065962</v>
      </c>
      <c r="Y6" s="29">
        <f t="shared" ref="Y6" si="6">X70</f>
        <v>59149.083934065959</v>
      </c>
      <c r="Z6" s="29">
        <f t="shared" ref="Z6" si="7">Y70</f>
        <v>54245.139214065959</v>
      </c>
      <c r="AA6" s="29">
        <f t="shared" ref="AA6" si="8">Z70</f>
        <v>57142.120494065959</v>
      </c>
      <c r="AB6" s="29">
        <f t="shared" ref="AB6" si="9">AA70</f>
        <v>48882.24977406596</v>
      </c>
      <c r="AC6" s="29">
        <f t="shared" ref="AC6" si="10">AB70</f>
        <v>39106.863054065965</v>
      </c>
      <c r="AD6" s="29">
        <f t="shared" ref="AD6" si="11">AC70</f>
        <v>34202.918334065966</v>
      </c>
      <c r="AE6" s="29">
        <f t="shared" ref="AE6" si="12">AD70</f>
        <v>37099.899614065966</v>
      </c>
      <c r="AF6" s="29">
        <f t="shared" ref="AF6" si="13">AE70</f>
        <v>28840.028894065967</v>
      </c>
      <c r="AG6" s="29">
        <f t="shared" ref="AG6" si="14">AF70</f>
        <v>19064.642174065968</v>
      </c>
      <c r="AH6" s="29">
        <f t="shared" ref="AH6" si="15">AG70</f>
        <v>24395.91886637366</v>
      </c>
      <c r="AI6" s="29">
        <f t="shared" ref="AI6" si="16">AH70</f>
        <v>29308.121558681352</v>
      </c>
    </row>
    <row r="7" spans="1:43" ht="14.25" customHeight="1" x14ac:dyDescent="0.3">
      <c r="A7" s="33" t="s">
        <v>148</v>
      </c>
      <c r="B7" s="34"/>
      <c r="C7" s="66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 spans="1:43" ht="14.25" customHeight="1" x14ac:dyDescent="0.3">
      <c r="A8" s="11" t="s">
        <v>158</v>
      </c>
      <c r="B8" s="31" t="s">
        <v>161</v>
      </c>
      <c r="C8" s="31"/>
      <c r="D8" s="35">
        <v>24965.7</v>
      </c>
      <c r="E8" s="35">
        <v>22627.439999999999</v>
      </c>
      <c r="F8" s="150">
        <v>14884.46</v>
      </c>
      <c r="G8" s="35">
        <v>5291.8519999999999</v>
      </c>
      <c r="H8" s="35">
        <v>2645.9259999999999</v>
      </c>
      <c r="I8" s="35">
        <v>7937.7779999999993</v>
      </c>
      <c r="J8" s="35">
        <v>10583.704</v>
      </c>
      <c r="K8" s="35">
        <v>5291.8519999999999</v>
      </c>
      <c r="L8" s="35">
        <v>2645.9259999999999</v>
      </c>
      <c r="M8" s="35">
        <v>7937.7779999999993</v>
      </c>
      <c r="N8" s="35">
        <v>10583.704</v>
      </c>
      <c r="O8" s="35">
        <v>5291.8519999999999</v>
      </c>
      <c r="P8" s="35">
        <v>2645.9259999999999</v>
      </c>
      <c r="Q8" s="35">
        <v>7937.7779999999993</v>
      </c>
      <c r="R8" s="35">
        <v>10583.704</v>
      </c>
      <c r="S8" s="35">
        <v>5291.8519999999999</v>
      </c>
      <c r="T8" s="35">
        <v>2645.9259999999999</v>
      </c>
      <c r="U8" s="35">
        <v>7937.7779999999993</v>
      </c>
      <c r="V8" s="35">
        <v>10583.704</v>
      </c>
      <c r="W8" s="35">
        <v>5291.8519999999999</v>
      </c>
      <c r="X8" s="35">
        <v>2645.9259999999999</v>
      </c>
      <c r="Y8" s="35">
        <v>7937.7779999999993</v>
      </c>
      <c r="Z8" s="35">
        <v>10583.704</v>
      </c>
      <c r="AA8" s="35">
        <v>5291.8519999999999</v>
      </c>
      <c r="AB8" s="35">
        <v>2645.9259999999999</v>
      </c>
      <c r="AC8" s="35">
        <v>7937.7779999999993</v>
      </c>
      <c r="AD8" s="35">
        <v>10583.704</v>
      </c>
      <c r="AE8" s="35">
        <v>5291.8519999999999</v>
      </c>
      <c r="AF8" s="35">
        <v>2645.9259999999999</v>
      </c>
      <c r="AG8" s="35">
        <v>7937.7779999999993</v>
      </c>
      <c r="AH8" s="35">
        <v>10583.704</v>
      </c>
      <c r="AI8" s="35">
        <v>5291.8519999999999</v>
      </c>
      <c r="AJ8" s="35">
        <f>SUM(D8:AI8)</f>
        <v>252984.27200000008</v>
      </c>
    </row>
    <row r="9" spans="1:43" ht="14.25" customHeight="1" x14ac:dyDescent="0.3">
      <c r="A9" s="11" t="s">
        <v>169</v>
      </c>
      <c r="C9" s="101">
        <v>30000</v>
      </c>
      <c r="D9" s="36">
        <v>0</v>
      </c>
      <c r="E9" s="36">
        <v>0</v>
      </c>
      <c r="F9" s="36">
        <v>0</v>
      </c>
      <c r="G9" s="36">
        <v>0</v>
      </c>
      <c r="H9" s="101">
        <v>30000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77">
        <v>30000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77">
        <v>30000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5">
        <f>SUM(C9:AI9)</f>
        <v>120000</v>
      </c>
    </row>
    <row r="10" spans="1:43" ht="14.25" customHeight="1" x14ac:dyDescent="0.3">
      <c r="A10" s="11" t="s">
        <v>179</v>
      </c>
      <c r="D10" s="36">
        <v>0</v>
      </c>
      <c r="E10" s="36">
        <v>0</v>
      </c>
      <c r="F10" s="77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f>420*4+900*4-900-270</f>
        <v>4110</v>
      </c>
      <c r="V10" s="36">
        <v>0</v>
      </c>
      <c r="W10" s="36">
        <v>0</v>
      </c>
      <c r="X10" s="36">
        <v>0</v>
      </c>
      <c r="Y10" s="36">
        <v>0</v>
      </c>
      <c r="Z10" s="36">
        <f>+U10</f>
        <v>4110</v>
      </c>
      <c r="AA10" s="36">
        <v>0</v>
      </c>
      <c r="AB10" s="36">
        <v>0</v>
      </c>
      <c r="AC10" s="36">
        <v>0</v>
      </c>
      <c r="AD10" s="36">
        <f>+Z10</f>
        <v>4110</v>
      </c>
      <c r="AE10" s="36">
        <v>0</v>
      </c>
      <c r="AF10" s="36">
        <v>0</v>
      </c>
      <c r="AG10" s="36">
        <f>+AD10</f>
        <v>4110</v>
      </c>
      <c r="AH10" s="36">
        <v>0</v>
      </c>
      <c r="AI10" s="36">
        <v>0</v>
      </c>
      <c r="AJ10" s="35">
        <f t="shared" ref="AJ10:AJ11" si="17">SUM(D10:AI10)</f>
        <v>16440</v>
      </c>
    </row>
    <row r="11" spans="1:43" ht="14.25" customHeight="1" x14ac:dyDescent="0.3">
      <c r="A11" s="37" t="s">
        <v>180</v>
      </c>
      <c r="D11" s="38">
        <f t="shared" ref="D11:S11" si="18">SUM(D8:D10)</f>
        <v>24965.7</v>
      </c>
      <c r="E11" s="38">
        <f t="shared" si="18"/>
        <v>22627.439999999999</v>
      </c>
      <c r="F11" s="38">
        <f t="shared" si="18"/>
        <v>14884.46</v>
      </c>
      <c r="G11" s="38">
        <f t="shared" si="18"/>
        <v>5291.8519999999999</v>
      </c>
      <c r="H11" s="38">
        <f t="shared" si="18"/>
        <v>32645.925999999999</v>
      </c>
      <c r="I11" s="38">
        <f t="shared" si="18"/>
        <v>7937.7779999999993</v>
      </c>
      <c r="J11" s="38">
        <f t="shared" si="18"/>
        <v>10583.704</v>
      </c>
      <c r="K11" s="38">
        <f t="shared" si="18"/>
        <v>5291.8519999999999</v>
      </c>
      <c r="L11" s="38">
        <f t="shared" si="18"/>
        <v>2645.9259999999999</v>
      </c>
      <c r="M11" s="38">
        <f t="shared" si="18"/>
        <v>7937.7779999999993</v>
      </c>
      <c r="N11" s="38">
        <f t="shared" si="18"/>
        <v>10583.704</v>
      </c>
      <c r="O11" s="38">
        <f t="shared" si="18"/>
        <v>5291.8519999999999</v>
      </c>
      <c r="P11" s="38">
        <f t="shared" si="18"/>
        <v>32645.925999999999</v>
      </c>
      <c r="Q11" s="38">
        <f t="shared" si="18"/>
        <v>7937.7779999999993</v>
      </c>
      <c r="R11" s="38">
        <f t="shared" si="18"/>
        <v>10583.704</v>
      </c>
      <c r="S11" s="38">
        <f t="shared" si="18"/>
        <v>5291.8519999999999</v>
      </c>
      <c r="T11" s="38">
        <f t="shared" ref="T11:AA11" si="19">SUM(T8:T10)</f>
        <v>2645.9259999999999</v>
      </c>
      <c r="U11" s="38">
        <f t="shared" si="19"/>
        <v>12047.777999999998</v>
      </c>
      <c r="V11" s="38">
        <f t="shared" si="19"/>
        <v>10583.704</v>
      </c>
      <c r="W11" s="38">
        <f t="shared" si="19"/>
        <v>5291.8519999999999</v>
      </c>
      <c r="X11" s="38">
        <f t="shared" si="19"/>
        <v>32645.925999999999</v>
      </c>
      <c r="Y11" s="38">
        <f t="shared" si="19"/>
        <v>7937.7779999999993</v>
      </c>
      <c r="Z11" s="38">
        <f t="shared" si="19"/>
        <v>14693.704</v>
      </c>
      <c r="AA11" s="38">
        <f t="shared" si="19"/>
        <v>5291.8519999999999</v>
      </c>
      <c r="AB11" s="38">
        <f t="shared" ref="AB11:AI11" si="20">SUM(AB8:AB10)</f>
        <v>2645.9259999999999</v>
      </c>
      <c r="AC11" s="38">
        <f t="shared" si="20"/>
        <v>7937.7779999999993</v>
      </c>
      <c r="AD11" s="38">
        <f t="shared" si="20"/>
        <v>14693.704</v>
      </c>
      <c r="AE11" s="38">
        <f t="shared" si="20"/>
        <v>5291.8519999999999</v>
      </c>
      <c r="AF11" s="38">
        <f t="shared" si="20"/>
        <v>2645.9259999999999</v>
      </c>
      <c r="AG11" s="38">
        <f t="shared" si="20"/>
        <v>12047.777999999998</v>
      </c>
      <c r="AH11" s="38">
        <f t="shared" si="20"/>
        <v>10583.704</v>
      </c>
      <c r="AI11" s="38">
        <f t="shared" si="20"/>
        <v>5291.8519999999999</v>
      </c>
      <c r="AJ11" s="38">
        <f t="shared" si="17"/>
        <v>359424.27200000006</v>
      </c>
    </row>
    <row r="12" spans="1:43" ht="14.25" customHeight="1" x14ac:dyDescent="0.3">
      <c r="A12" s="33" t="s">
        <v>186</v>
      </c>
      <c r="B12" s="34"/>
      <c r="C12" s="66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1:43" ht="14.25" customHeight="1" x14ac:dyDescent="0.3">
      <c r="A13" s="11" t="s">
        <v>183</v>
      </c>
      <c r="D13" s="35">
        <v>0</v>
      </c>
      <c r="E13" s="35">
        <v>0</v>
      </c>
      <c r="F13" s="35">
        <v>0</v>
      </c>
      <c r="G13" s="35">
        <f>1555+100+100</f>
        <v>1755</v>
      </c>
      <c r="H13" s="35">
        <v>0</v>
      </c>
      <c r="I13" s="35">
        <v>0</v>
      </c>
      <c r="J13" s="35">
        <v>0</v>
      </c>
      <c r="K13" s="35">
        <f>1555+100+100</f>
        <v>1755</v>
      </c>
      <c r="L13" s="35">
        <v>0</v>
      </c>
      <c r="M13" s="35">
        <v>0</v>
      </c>
      <c r="N13" s="35">
        <v>0</v>
      </c>
      <c r="O13" s="35">
        <f>1555+100+100</f>
        <v>1755</v>
      </c>
      <c r="P13" s="35">
        <v>0</v>
      </c>
      <c r="Q13" s="35">
        <v>0</v>
      </c>
      <c r="R13" s="35">
        <v>0</v>
      </c>
      <c r="S13" s="35">
        <f>1555+100+100</f>
        <v>1755</v>
      </c>
      <c r="T13" s="35">
        <v>0</v>
      </c>
      <c r="U13" s="35">
        <v>0</v>
      </c>
      <c r="V13" s="35">
        <v>0</v>
      </c>
      <c r="W13" s="35">
        <f>1555+100+100</f>
        <v>1755</v>
      </c>
      <c r="X13" s="35">
        <v>0</v>
      </c>
      <c r="Y13" s="35">
        <v>0</v>
      </c>
      <c r="Z13" s="35">
        <v>0</v>
      </c>
      <c r="AA13" s="35">
        <f>1555+100+100</f>
        <v>1755</v>
      </c>
      <c r="AB13" s="35">
        <v>0</v>
      </c>
      <c r="AC13" s="35">
        <v>0</v>
      </c>
      <c r="AD13" s="35">
        <v>0</v>
      </c>
      <c r="AE13" s="35">
        <f>1555+100+100</f>
        <v>1755</v>
      </c>
      <c r="AF13" s="35">
        <v>0</v>
      </c>
      <c r="AG13" s="35">
        <v>0</v>
      </c>
      <c r="AH13" s="35">
        <v>0</v>
      </c>
      <c r="AI13" s="35">
        <f>1555+100+100</f>
        <v>1755</v>
      </c>
    </row>
    <row r="14" spans="1:43" ht="14.25" customHeight="1" x14ac:dyDescent="0.3">
      <c r="A14" s="11" t="s">
        <v>185</v>
      </c>
      <c r="B14">
        <v>45.59</v>
      </c>
      <c r="D14" s="35">
        <v>0</v>
      </c>
      <c r="E14" s="90">
        <f>462.31+164.26</f>
        <v>626.56999999999994</v>
      </c>
      <c r="F14" s="35">
        <v>0</v>
      </c>
      <c r="G14" s="35">
        <v>0</v>
      </c>
      <c r="H14" s="35">
        <v>45.59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</row>
    <row r="15" spans="1:43" ht="14.25" customHeight="1" x14ac:dyDescent="0.3">
      <c r="A15" s="11" t="s">
        <v>188</v>
      </c>
      <c r="D15" s="35">
        <v>0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</row>
    <row r="16" spans="1:43" ht="14.25" customHeight="1" x14ac:dyDescent="0.3">
      <c r="A16" s="11" t="s">
        <v>190</v>
      </c>
      <c r="D16" s="35">
        <v>0</v>
      </c>
      <c r="E16" s="90">
        <v>1094</v>
      </c>
      <c r="F16" s="35">
        <v>0</v>
      </c>
      <c r="G16" s="35">
        <v>0</v>
      </c>
      <c r="H16" s="35">
        <v>0</v>
      </c>
      <c r="I16" s="35">
        <v>1045</v>
      </c>
      <c r="J16" s="35">
        <v>0</v>
      </c>
      <c r="K16" s="35">
        <v>0</v>
      </c>
      <c r="L16" s="35">
        <v>0</v>
      </c>
      <c r="M16" s="35">
        <v>1045</v>
      </c>
      <c r="N16" s="35">
        <v>0</v>
      </c>
      <c r="O16" s="35">
        <v>0</v>
      </c>
      <c r="P16" s="35">
        <v>0</v>
      </c>
      <c r="Q16" s="35">
        <v>1045</v>
      </c>
      <c r="R16" s="35">
        <v>0</v>
      </c>
      <c r="S16" s="35">
        <v>0</v>
      </c>
      <c r="T16" s="35">
        <v>0</v>
      </c>
      <c r="U16" s="35">
        <v>1045</v>
      </c>
      <c r="V16" s="35">
        <v>0</v>
      </c>
      <c r="W16" s="35">
        <v>0</v>
      </c>
      <c r="X16" s="35">
        <v>0</v>
      </c>
      <c r="Y16" s="35">
        <v>1045</v>
      </c>
      <c r="Z16" s="35">
        <v>0</v>
      </c>
      <c r="AA16" s="35">
        <v>0</v>
      </c>
      <c r="AB16" s="35">
        <v>0</v>
      </c>
      <c r="AC16" s="35">
        <v>1045</v>
      </c>
      <c r="AD16" s="35">
        <v>0</v>
      </c>
      <c r="AE16" s="35">
        <v>0</v>
      </c>
      <c r="AF16" s="35">
        <v>0</v>
      </c>
      <c r="AG16" s="35">
        <v>1045</v>
      </c>
      <c r="AH16" s="35">
        <v>0</v>
      </c>
      <c r="AI16" s="35">
        <v>0</v>
      </c>
    </row>
    <row r="17" spans="1:37" ht="14.25" customHeight="1" x14ac:dyDescent="0.3">
      <c r="A17" s="11" t="s">
        <v>192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  <c r="X17" s="35">
        <v>0</v>
      </c>
      <c r="Y17" s="35">
        <v>0</v>
      </c>
      <c r="Z17" s="35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</row>
    <row r="18" spans="1:37" ht="14.25" customHeight="1" x14ac:dyDescent="0.3">
      <c r="A18" s="11" t="s">
        <v>194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5">
        <v>0</v>
      </c>
    </row>
    <row r="19" spans="1:37" ht="14.25" customHeight="1" x14ac:dyDescent="0.3">
      <c r="A19" s="39" t="s">
        <v>209</v>
      </c>
      <c r="D19" s="35">
        <v>624.59</v>
      </c>
      <c r="E19" s="35">
        <v>0</v>
      </c>
      <c r="F19" s="35">
        <v>0</v>
      </c>
      <c r="G19" s="35">
        <v>0</v>
      </c>
      <c r="H19" s="35">
        <v>624.59</v>
      </c>
      <c r="I19" s="35">
        <v>0</v>
      </c>
      <c r="J19" s="35">
        <v>0</v>
      </c>
      <c r="K19" s="35">
        <v>0</v>
      </c>
      <c r="L19" s="35">
        <v>624.59</v>
      </c>
      <c r="M19" s="35">
        <v>0</v>
      </c>
      <c r="N19" s="35">
        <v>0</v>
      </c>
      <c r="O19" s="35">
        <v>0</v>
      </c>
      <c r="P19" s="35">
        <v>624.59</v>
      </c>
      <c r="Q19" s="35">
        <v>0</v>
      </c>
      <c r="R19" s="35">
        <v>0</v>
      </c>
      <c r="S19" s="35">
        <v>0</v>
      </c>
      <c r="T19" s="35">
        <v>624.59</v>
      </c>
      <c r="U19" s="35">
        <v>0</v>
      </c>
      <c r="V19" s="35">
        <v>0</v>
      </c>
      <c r="W19" s="35">
        <v>0</v>
      </c>
      <c r="X19" s="35">
        <v>624.59</v>
      </c>
      <c r="Y19" s="35">
        <v>0</v>
      </c>
      <c r="Z19" s="35">
        <v>0</v>
      </c>
      <c r="AA19" s="35">
        <v>0</v>
      </c>
      <c r="AB19" s="35">
        <v>624.59</v>
      </c>
      <c r="AC19" s="35">
        <v>0</v>
      </c>
      <c r="AD19" s="35">
        <v>0</v>
      </c>
      <c r="AE19" s="35">
        <v>0</v>
      </c>
      <c r="AF19" s="35">
        <v>624.59</v>
      </c>
      <c r="AG19" s="35">
        <v>0</v>
      </c>
      <c r="AH19" s="35">
        <v>0</v>
      </c>
      <c r="AI19" s="35">
        <v>0</v>
      </c>
    </row>
    <row r="20" spans="1:37" ht="14.25" customHeight="1" x14ac:dyDescent="0.3">
      <c r="A20" s="39" t="s">
        <v>217</v>
      </c>
      <c r="D20" s="35">
        <v>125.88</v>
      </c>
      <c r="E20" s="90">
        <v>16.05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  <c r="X20" s="35">
        <v>0</v>
      </c>
      <c r="Y20" s="35">
        <v>0</v>
      </c>
      <c r="Z20" s="35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</row>
    <row r="21" spans="1:37" ht="14.25" customHeight="1" x14ac:dyDescent="0.3">
      <c r="A21" s="92" t="s">
        <v>328</v>
      </c>
      <c r="D21" s="38">
        <f t="shared" ref="D21:S21" si="21">SUM(D13:D20)</f>
        <v>750.47</v>
      </c>
      <c r="E21" s="38">
        <f t="shared" si="21"/>
        <v>1736.62</v>
      </c>
      <c r="F21" s="38">
        <f t="shared" si="21"/>
        <v>0</v>
      </c>
      <c r="G21" s="38">
        <f t="shared" si="21"/>
        <v>1755</v>
      </c>
      <c r="H21" s="38">
        <f t="shared" si="21"/>
        <v>670.18000000000006</v>
      </c>
      <c r="I21" s="38">
        <f t="shared" si="21"/>
        <v>1045</v>
      </c>
      <c r="J21" s="38">
        <f t="shared" si="21"/>
        <v>0</v>
      </c>
      <c r="K21" s="38">
        <f t="shared" si="21"/>
        <v>1755</v>
      </c>
      <c r="L21" s="38">
        <f t="shared" si="21"/>
        <v>624.59</v>
      </c>
      <c r="M21" s="38">
        <f t="shared" si="21"/>
        <v>1045</v>
      </c>
      <c r="N21" s="38">
        <f t="shared" si="21"/>
        <v>0</v>
      </c>
      <c r="O21" s="38">
        <f t="shared" si="21"/>
        <v>1755</v>
      </c>
      <c r="P21" s="38">
        <f t="shared" si="21"/>
        <v>624.59</v>
      </c>
      <c r="Q21" s="38">
        <f t="shared" si="21"/>
        <v>1045</v>
      </c>
      <c r="R21" s="38">
        <f t="shared" si="21"/>
        <v>0</v>
      </c>
      <c r="S21" s="38">
        <f t="shared" si="21"/>
        <v>1755</v>
      </c>
      <c r="T21" s="38">
        <f t="shared" ref="T21:AA21" si="22">SUM(T13:T20)</f>
        <v>624.59</v>
      </c>
      <c r="U21" s="38">
        <f t="shared" si="22"/>
        <v>1045</v>
      </c>
      <c r="V21" s="38">
        <f t="shared" si="22"/>
        <v>0</v>
      </c>
      <c r="W21" s="38">
        <f t="shared" si="22"/>
        <v>1755</v>
      </c>
      <c r="X21" s="38">
        <f t="shared" si="22"/>
        <v>624.59</v>
      </c>
      <c r="Y21" s="38">
        <f t="shared" si="22"/>
        <v>1045</v>
      </c>
      <c r="Z21" s="38">
        <f t="shared" si="22"/>
        <v>0</v>
      </c>
      <c r="AA21" s="38">
        <f t="shared" si="22"/>
        <v>1755</v>
      </c>
      <c r="AB21" s="38">
        <f t="shared" ref="AB21:AI21" si="23">SUM(AB13:AB20)</f>
        <v>624.59</v>
      </c>
      <c r="AC21" s="38">
        <f t="shared" si="23"/>
        <v>1045</v>
      </c>
      <c r="AD21" s="38">
        <f t="shared" si="23"/>
        <v>0</v>
      </c>
      <c r="AE21" s="38">
        <f t="shared" si="23"/>
        <v>1755</v>
      </c>
      <c r="AF21" s="38">
        <f t="shared" si="23"/>
        <v>624.59</v>
      </c>
      <c r="AG21" s="38">
        <f t="shared" si="23"/>
        <v>1045</v>
      </c>
      <c r="AH21" s="38">
        <f t="shared" si="23"/>
        <v>0</v>
      </c>
      <c r="AI21" s="38">
        <f t="shared" si="23"/>
        <v>1755</v>
      </c>
    </row>
    <row r="22" spans="1:37" ht="14.25" customHeight="1" x14ac:dyDescent="0.3">
      <c r="A22" s="33" t="s">
        <v>230</v>
      </c>
      <c r="B22" s="34"/>
      <c r="C22" s="6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14.25" customHeight="1" x14ac:dyDescent="0.3">
      <c r="A23" s="80" t="s">
        <v>324</v>
      </c>
      <c r="B23" s="35">
        <v>24440</v>
      </c>
      <c r="C23" s="79">
        <v>21656</v>
      </c>
      <c r="D23" s="35">
        <v>2050.8000000000002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f>SUM(C23:AI23)</f>
        <v>23706.799999999999</v>
      </c>
      <c r="AK23" s="35">
        <f>B23-AJ23</f>
        <v>733.20000000000073</v>
      </c>
    </row>
    <row r="24" spans="1:37" ht="14.25" customHeight="1" x14ac:dyDescent="0.3">
      <c r="A24" s="80" t="s">
        <v>323</v>
      </c>
      <c r="B24" s="35">
        <v>38379.199999999997</v>
      </c>
      <c r="C24" s="79">
        <v>38379.199999999997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f t="shared" ref="AJ24:AJ65" si="24">SUM(C24:AI24)</f>
        <v>38379.199999999997</v>
      </c>
      <c r="AK24" s="35">
        <f t="shared" ref="AK24:AK65" si="25">B24-AJ24</f>
        <v>0</v>
      </c>
    </row>
    <row r="25" spans="1:37" ht="14.25" customHeight="1" x14ac:dyDescent="0.3">
      <c r="A25" s="81" t="s">
        <v>336</v>
      </c>
      <c r="B25" s="70">
        <v>9000</v>
      </c>
      <c r="C25" s="35">
        <v>0</v>
      </c>
      <c r="D25" s="35">
        <v>2000</v>
      </c>
      <c r="E25" s="90">
        <v>3000</v>
      </c>
      <c r="F25" s="150">
        <v>1000</v>
      </c>
      <c r="G25" s="35">
        <v>1000</v>
      </c>
      <c r="H25" s="35">
        <v>1000</v>
      </c>
      <c r="I25" s="35">
        <v>1000</v>
      </c>
      <c r="J25" s="35">
        <v>1000</v>
      </c>
      <c r="K25" s="35">
        <v>1000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5">
        <f t="shared" si="24"/>
        <v>11000</v>
      </c>
      <c r="AK25" s="35">
        <f t="shared" si="25"/>
        <v>-2000</v>
      </c>
    </row>
    <row r="26" spans="1:37" ht="14.25" customHeight="1" x14ac:dyDescent="0.3">
      <c r="A26" s="82" t="s">
        <v>329</v>
      </c>
      <c r="B26" s="70">
        <v>4416</v>
      </c>
      <c r="C26" s="35">
        <v>0</v>
      </c>
      <c r="D26" s="35">
        <v>0</v>
      </c>
      <c r="E26" s="90">
        <v>1324.8</v>
      </c>
      <c r="F26" s="150">
        <v>2000</v>
      </c>
      <c r="G26" s="35">
        <v>1324.8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f t="shared" si="24"/>
        <v>4649.6000000000004</v>
      </c>
      <c r="AK26" s="35">
        <f t="shared" si="25"/>
        <v>-233.60000000000036</v>
      </c>
    </row>
    <row r="27" spans="1:37" ht="14.25" customHeight="1" x14ac:dyDescent="0.3">
      <c r="A27" s="82" t="s">
        <v>322</v>
      </c>
      <c r="B27" s="70">
        <f>2485.014+777.95+47.78</f>
        <v>3310.7440000000001</v>
      </c>
      <c r="C27" s="35">
        <v>0</v>
      </c>
      <c r="D27" s="35">
        <v>2485.14</v>
      </c>
      <c r="E27" s="35">
        <v>0</v>
      </c>
      <c r="F27" s="150">
        <v>597.14</v>
      </c>
      <c r="G27" s="35">
        <v>0</v>
      </c>
      <c r="H27" s="88">
        <v>47.78</v>
      </c>
      <c r="I27" s="35">
        <v>764.42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  <c r="X27" s="35">
        <v>0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5">
        <f t="shared" si="24"/>
        <v>3894.48</v>
      </c>
      <c r="AK27" s="35">
        <f t="shared" si="25"/>
        <v>-583.73599999999988</v>
      </c>
    </row>
    <row r="28" spans="1:37" ht="14.25" customHeight="1" x14ac:dyDescent="0.3">
      <c r="A28" s="84" t="s">
        <v>330</v>
      </c>
      <c r="B28" s="70">
        <v>15346.8</v>
      </c>
      <c r="C28" s="35">
        <v>13993.9</v>
      </c>
      <c r="D28" s="35">
        <v>1352.43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  <c r="X28" s="35">
        <v>0</v>
      </c>
      <c r="Y28" s="35">
        <v>0</v>
      </c>
      <c r="Z28" s="35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5">
        <f t="shared" si="24"/>
        <v>15346.33</v>
      </c>
      <c r="AK28" s="35">
        <f t="shared" si="25"/>
        <v>0.46999999999934516</v>
      </c>
    </row>
    <row r="29" spans="1:37" ht="14.25" customHeight="1" x14ac:dyDescent="0.3">
      <c r="A29" s="84" t="s">
        <v>331</v>
      </c>
      <c r="B29" s="70">
        <v>26406.9</v>
      </c>
      <c r="C29" s="35">
        <v>26406.9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5">
        <f t="shared" si="24"/>
        <v>26406.9</v>
      </c>
      <c r="AK29" s="35">
        <f t="shared" si="25"/>
        <v>0</v>
      </c>
    </row>
    <row r="30" spans="1:37" ht="14.25" customHeight="1" x14ac:dyDescent="0.3">
      <c r="A30" s="85" t="s">
        <v>332</v>
      </c>
      <c r="B30" s="70">
        <v>13788.77</v>
      </c>
      <c r="C30" s="35">
        <v>4136.63</v>
      </c>
      <c r="D30" s="35">
        <v>0</v>
      </c>
      <c r="E30" s="90">
        <v>5515.51</v>
      </c>
      <c r="F30" s="35">
        <v>0</v>
      </c>
      <c r="G30" s="35">
        <v>4136.63</v>
      </c>
      <c r="H30" s="35">
        <v>0</v>
      </c>
      <c r="I30" s="35">
        <v>0</v>
      </c>
      <c r="J30" s="35">
        <v>1197.8900000000001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f t="shared" si="24"/>
        <v>14986.66</v>
      </c>
      <c r="AK30" s="35">
        <f t="shared" si="25"/>
        <v>-1197.8899999999994</v>
      </c>
    </row>
    <row r="31" spans="1:37" ht="14.25" customHeight="1" x14ac:dyDescent="0.3">
      <c r="A31" s="85" t="s">
        <v>345</v>
      </c>
      <c r="B31" s="113">
        <f>3114.96/4*3</f>
        <v>2336.2200000000003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88">
        <v>2336.2200000000003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f t="shared" si="24"/>
        <v>2336.2200000000003</v>
      </c>
      <c r="AK31" s="35">
        <f t="shared" si="25"/>
        <v>0</v>
      </c>
    </row>
    <row r="32" spans="1:37" ht="14.25" customHeight="1" x14ac:dyDescent="0.3">
      <c r="A32" s="82" t="s">
        <v>333</v>
      </c>
      <c r="B32" s="70">
        <v>1522.5</v>
      </c>
      <c r="C32" s="35">
        <v>761.25</v>
      </c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5">
        <f t="shared" si="24"/>
        <v>761.25</v>
      </c>
      <c r="AK32" s="35">
        <f t="shared" si="25"/>
        <v>761.25</v>
      </c>
    </row>
    <row r="33" spans="1:37" ht="14.25" customHeight="1" x14ac:dyDescent="0.3">
      <c r="A33" s="82" t="s">
        <v>334</v>
      </c>
      <c r="B33" s="70">
        <v>1773.57</v>
      </c>
      <c r="C33" s="35">
        <v>0</v>
      </c>
      <c r="D33" s="35">
        <v>0</v>
      </c>
      <c r="E33" s="35">
        <v>0</v>
      </c>
      <c r="F33" s="35">
        <v>0</v>
      </c>
      <c r="G33" s="35">
        <f>520.46+1253.11</f>
        <v>1773.57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5">
        <f t="shared" si="24"/>
        <v>1773.57</v>
      </c>
      <c r="AK33" s="35">
        <f t="shared" si="25"/>
        <v>0</v>
      </c>
    </row>
    <row r="34" spans="1:37" ht="14.25" customHeight="1" x14ac:dyDescent="0.3">
      <c r="A34" s="91" t="s">
        <v>325</v>
      </c>
      <c r="B34" s="35">
        <v>5938.33</v>
      </c>
      <c r="C34" s="35">
        <v>5938.33</v>
      </c>
      <c r="D34" s="35">
        <v>0</v>
      </c>
      <c r="E34" s="35">
        <v>0</v>
      </c>
      <c r="F34" s="150">
        <f>1861.75+618.41</f>
        <v>2480.16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  <c r="U34" s="35">
        <v>0</v>
      </c>
      <c r="V34" s="35">
        <v>0</v>
      </c>
      <c r="W34" s="35">
        <v>0</v>
      </c>
      <c r="X34" s="35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  <c r="AJ34" s="35">
        <f>SUM(C34:AI34)</f>
        <v>8418.49</v>
      </c>
      <c r="AK34" s="35">
        <f>B34-AJ34</f>
        <v>-2480.16</v>
      </c>
    </row>
    <row r="35" spans="1:37" ht="14.25" customHeight="1" x14ac:dyDescent="0.3">
      <c r="A35" s="93" t="s">
        <v>335</v>
      </c>
      <c r="B35" s="35">
        <f>10*80</f>
        <v>800</v>
      </c>
      <c r="C35" s="35"/>
      <c r="D35" s="35">
        <v>0</v>
      </c>
      <c r="E35" s="35">
        <v>0</v>
      </c>
      <c r="F35" s="150">
        <v>812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  <c r="U35" s="35">
        <v>0</v>
      </c>
      <c r="V35" s="35">
        <v>0</v>
      </c>
      <c r="W35" s="35">
        <v>0</v>
      </c>
      <c r="X35" s="35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  <c r="AJ35" s="35">
        <f>SUM(C35:AI35)</f>
        <v>812</v>
      </c>
      <c r="AK35" s="35">
        <f>B35-AJ35</f>
        <v>-12</v>
      </c>
    </row>
    <row r="36" spans="1:37" ht="14.25" customHeight="1" x14ac:dyDescent="0.3">
      <c r="A36" s="94" t="s">
        <v>339</v>
      </c>
      <c r="B36" s="97">
        <f>+SUM(B23:B35)</f>
        <v>147459.03399999999</v>
      </c>
      <c r="C36" s="96">
        <f>+SUM(B23:B35)/1300</f>
        <v>113.43002615384614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</row>
    <row r="37" spans="1:37" ht="14.25" customHeight="1" x14ac:dyDescent="0.3">
      <c r="A37" s="86" t="s">
        <v>285</v>
      </c>
      <c r="B37" s="35">
        <v>2693.88</v>
      </c>
      <c r="C37" s="35"/>
      <c r="D37" s="35">
        <v>0</v>
      </c>
      <c r="E37" s="35">
        <v>0</v>
      </c>
      <c r="F37" s="35">
        <v>0</v>
      </c>
      <c r="G37" s="35">
        <v>0</v>
      </c>
      <c r="H37" s="35">
        <f t="shared" ref="H37" si="26">+B37*40%</f>
        <v>1077.5520000000001</v>
      </c>
      <c r="I37" s="35">
        <v>0</v>
      </c>
      <c r="J37" s="35">
        <v>0</v>
      </c>
      <c r="K37" s="35">
        <f t="shared" ref="K37" si="27">+B37*30%</f>
        <v>808.16399999999999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5">
        <f t="shared" si="24"/>
        <v>1885.7160000000001</v>
      </c>
      <c r="AK37" s="35">
        <f t="shared" si="25"/>
        <v>808.16399999999999</v>
      </c>
    </row>
    <row r="38" spans="1:37" ht="14.25" customHeight="1" x14ac:dyDescent="0.3">
      <c r="A38" s="87" t="s">
        <v>286</v>
      </c>
      <c r="B38" s="35">
        <v>1507.31</v>
      </c>
      <c r="C38" s="35"/>
      <c r="D38" s="35">
        <v>0</v>
      </c>
      <c r="E38" s="35">
        <v>0</v>
      </c>
      <c r="F38" s="150">
        <v>808.16</v>
      </c>
      <c r="G38" s="35">
        <v>0</v>
      </c>
      <c r="H38" s="35">
        <v>0</v>
      </c>
      <c r="I38" s="35">
        <v>442.44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5">
        <v>0</v>
      </c>
      <c r="W38" s="35">
        <v>0</v>
      </c>
      <c r="X38" s="35">
        <v>0</v>
      </c>
      <c r="Y38" s="35">
        <v>0</v>
      </c>
      <c r="Z38" s="35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5">
        <f t="shared" si="24"/>
        <v>1250.5999999999999</v>
      </c>
      <c r="AK38" s="35">
        <f t="shared" si="25"/>
        <v>256.71000000000004</v>
      </c>
    </row>
    <row r="39" spans="1:37" ht="14.25" customHeight="1" x14ac:dyDescent="0.3">
      <c r="A39" s="87" t="s">
        <v>378</v>
      </c>
      <c r="B39" s="35">
        <f>3114.96/4</f>
        <v>778.74</v>
      </c>
      <c r="C39" s="35"/>
      <c r="D39" s="35">
        <v>0</v>
      </c>
      <c r="E39" s="35">
        <v>0</v>
      </c>
      <c r="F39" s="35">
        <v>0</v>
      </c>
      <c r="G39" s="35">
        <v>0</v>
      </c>
      <c r="H39" s="88">
        <v>778.74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  <c r="U39" s="35">
        <v>0</v>
      </c>
      <c r="V39" s="35">
        <v>0</v>
      </c>
      <c r="W39" s="35">
        <v>0</v>
      </c>
      <c r="X39" s="35">
        <v>0</v>
      </c>
      <c r="Y39" s="35">
        <v>0</v>
      </c>
      <c r="Z39" s="35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5">
        <f t="shared" ref="AJ39:AJ41" si="28">SUM(C39:AI39)</f>
        <v>778.74</v>
      </c>
      <c r="AK39" s="35">
        <f t="shared" ref="AK39:AK41" si="29">B39-AJ39</f>
        <v>0</v>
      </c>
    </row>
    <row r="40" spans="1:37" ht="14.25" customHeight="1" x14ac:dyDescent="0.3">
      <c r="A40" s="87" t="s">
        <v>288</v>
      </c>
      <c r="B40" s="35">
        <v>1885</v>
      </c>
      <c r="C40" s="35"/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  <c r="U40" s="35">
        <v>0</v>
      </c>
      <c r="V40" s="35">
        <v>0</v>
      </c>
      <c r="W40" s="35">
        <v>0</v>
      </c>
      <c r="X40" s="35">
        <v>0</v>
      </c>
      <c r="Y40" s="35">
        <v>0</v>
      </c>
      <c r="Z40" s="35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5">
        <f t="shared" si="28"/>
        <v>0</v>
      </c>
      <c r="AK40" s="35">
        <f t="shared" si="29"/>
        <v>1885</v>
      </c>
    </row>
    <row r="41" spans="1:37" ht="14.25" customHeight="1" x14ac:dyDescent="0.3">
      <c r="A41" s="87" t="s">
        <v>289</v>
      </c>
      <c r="B41" s="35">
        <v>2485.14</v>
      </c>
      <c r="C41" s="35"/>
      <c r="D41" s="35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f t="shared" si="28"/>
        <v>0</v>
      </c>
      <c r="AK41" s="35">
        <f t="shared" si="29"/>
        <v>2485.14</v>
      </c>
    </row>
    <row r="42" spans="1:37" ht="14.25" customHeight="1" x14ac:dyDescent="0.3">
      <c r="A42" s="11" t="s">
        <v>281</v>
      </c>
      <c r="B42" s="88">
        <v>597.14</v>
      </c>
      <c r="C42" s="35"/>
      <c r="D42" s="35">
        <v>0</v>
      </c>
      <c r="E42" s="35">
        <v>0</v>
      </c>
      <c r="F42" s="35">
        <v>0</v>
      </c>
      <c r="G42" s="88">
        <v>597.14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0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5">
        <f t="shared" si="24"/>
        <v>597.14</v>
      </c>
      <c r="AK42" s="35">
        <f t="shared" si="25"/>
        <v>0</v>
      </c>
    </row>
    <row r="43" spans="1:37" ht="14.25" customHeight="1" x14ac:dyDescent="0.3">
      <c r="A43" s="63" t="s">
        <v>291</v>
      </c>
      <c r="B43" s="88">
        <f>4363.02+650</f>
        <v>5013.0200000000004</v>
      </c>
      <c r="C43" s="35"/>
      <c r="D43" s="35">
        <v>4363.0200000000004</v>
      </c>
      <c r="E43" s="88">
        <v>650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  <c r="U43" s="35">
        <v>0</v>
      </c>
      <c r="V43" s="35">
        <v>0</v>
      </c>
      <c r="W43" s="35">
        <v>0</v>
      </c>
      <c r="X43" s="35">
        <v>0</v>
      </c>
      <c r="Y43" s="35">
        <v>0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5">
        <f t="shared" si="24"/>
        <v>5013.0200000000004</v>
      </c>
      <c r="AK43" s="35">
        <f t="shared" si="25"/>
        <v>0</v>
      </c>
    </row>
    <row r="44" spans="1:37" ht="14.25" customHeight="1" x14ac:dyDescent="0.3">
      <c r="A44" s="63" t="s">
        <v>337</v>
      </c>
      <c r="B44" s="35">
        <v>198</v>
      </c>
      <c r="C44" s="35"/>
      <c r="D44" s="35">
        <v>198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  <c r="U44" s="35">
        <v>0</v>
      </c>
      <c r="V44" s="35">
        <v>0</v>
      </c>
      <c r="W44" s="35">
        <v>0</v>
      </c>
      <c r="X44" s="35">
        <v>0</v>
      </c>
      <c r="Y44" s="35">
        <v>0</v>
      </c>
      <c r="Z44" s="35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5">
        <f t="shared" si="24"/>
        <v>198</v>
      </c>
      <c r="AK44" s="35">
        <f t="shared" si="25"/>
        <v>0</v>
      </c>
    </row>
    <row r="45" spans="1:37" ht="14.25" customHeight="1" x14ac:dyDescent="0.3">
      <c r="A45" s="89" t="s">
        <v>338</v>
      </c>
      <c r="B45" s="35">
        <v>156.19</v>
      </c>
      <c r="C45" s="35"/>
      <c r="D45" s="35">
        <v>0</v>
      </c>
      <c r="E45" s="90">
        <v>156.19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5">
        <f>SUM(C45:AI45)</f>
        <v>156.19</v>
      </c>
      <c r="AK45" s="35">
        <f t="shared" si="25"/>
        <v>0</v>
      </c>
    </row>
    <row r="46" spans="1:37" ht="14.25" customHeight="1" x14ac:dyDescent="0.3">
      <c r="A46" s="94" t="s">
        <v>340</v>
      </c>
      <c r="B46" s="97">
        <f>+SUM(B37:B45)</f>
        <v>15314.42</v>
      </c>
      <c r="C46" s="96">
        <f>+SUM(B37:B45)/150</f>
        <v>102.09613333333333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</row>
    <row r="47" spans="1:37" ht="14.25" customHeight="1" x14ac:dyDescent="0.3">
      <c r="A47" s="84" t="s">
        <v>283</v>
      </c>
      <c r="B47" s="64">
        <f>10258+4160.13</f>
        <v>14418.130000000001</v>
      </c>
      <c r="C47" s="64"/>
      <c r="D47" s="35">
        <v>0</v>
      </c>
      <c r="E47" s="35">
        <v>0</v>
      </c>
      <c r="F47" s="59">
        <v>0</v>
      </c>
      <c r="G47" s="59">
        <f>+F47</f>
        <v>0</v>
      </c>
      <c r="H47" s="59">
        <f t="shared" ref="H47:I48" si="30">+G47</f>
        <v>0</v>
      </c>
      <c r="I47" s="59">
        <f t="shared" si="30"/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  <c r="U47" s="35">
        <v>0</v>
      </c>
      <c r="V47" s="35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5">
        <f t="shared" si="24"/>
        <v>0</v>
      </c>
      <c r="AK47" s="35">
        <f t="shared" si="25"/>
        <v>14418.130000000001</v>
      </c>
    </row>
    <row r="48" spans="1:37" ht="14.25" customHeight="1" x14ac:dyDescent="0.3">
      <c r="A48" s="84" t="s">
        <v>284</v>
      </c>
      <c r="B48" s="64">
        <f>12166.54+8860.75</f>
        <v>21027.29</v>
      </c>
      <c r="C48" s="64"/>
      <c r="D48" s="35">
        <v>0</v>
      </c>
      <c r="E48" s="35">
        <v>0</v>
      </c>
      <c r="F48" s="59">
        <v>0</v>
      </c>
      <c r="G48" s="59">
        <f>+F48</f>
        <v>0</v>
      </c>
      <c r="H48" s="59">
        <f t="shared" si="30"/>
        <v>0</v>
      </c>
      <c r="I48" s="59">
        <f t="shared" si="30"/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f t="shared" si="24"/>
        <v>0</v>
      </c>
      <c r="AK48" s="35">
        <f t="shared" si="25"/>
        <v>21027.29</v>
      </c>
    </row>
    <row r="49" spans="1:37" ht="14.25" customHeight="1" x14ac:dyDescent="0.3">
      <c r="A49" s="83" t="s">
        <v>272</v>
      </c>
      <c r="B49" s="35">
        <v>6500</v>
      </c>
      <c r="C49" s="35"/>
      <c r="D49" s="35">
        <v>0</v>
      </c>
      <c r="E49" s="35">
        <v>0</v>
      </c>
      <c r="F49" s="35">
        <v>0</v>
      </c>
      <c r="G49" s="35">
        <v>928.57142857142856</v>
      </c>
      <c r="H49" s="35">
        <v>928.57142857142856</v>
      </c>
      <c r="I49" s="35">
        <v>928.57142857142856</v>
      </c>
      <c r="J49" s="35">
        <v>928.57142857142856</v>
      </c>
      <c r="K49" s="35">
        <v>928.57142857142856</v>
      </c>
      <c r="L49" s="35">
        <v>928.57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  <c r="U49" s="35">
        <v>0</v>
      </c>
      <c r="V49" s="35">
        <v>0</v>
      </c>
      <c r="W49" s="35">
        <v>0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5">
        <f t="shared" si="24"/>
        <v>5571.4271428571428</v>
      </c>
      <c r="AK49" s="35">
        <f t="shared" si="25"/>
        <v>928.57285714285717</v>
      </c>
    </row>
    <row r="50" spans="1:37" ht="14.25" customHeight="1" x14ac:dyDescent="0.3">
      <c r="A50" s="84" t="s">
        <v>327</v>
      </c>
      <c r="B50" s="88">
        <v>6500</v>
      </c>
      <c r="C50" s="35"/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  <c r="U50" s="35">
        <v>0</v>
      </c>
      <c r="V50" s="35">
        <v>0</v>
      </c>
      <c r="W50" s="35">
        <v>0</v>
      </c>
      <c r="X50" s="35">
        <v>0</v>
      </c>
      <c r="Y50" s="35">
        <v>0</v>
      </c>
      <c r="Z50" s="35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5">
        <f t="shared" ref="AJ50" si="31">SUM(C50:AI50)</f>
        <v>0</v>
      </c>
      <c r="AK50" s="35">
        <f t="shared" ref="AK50" si="32">B50-AJ50</f>
        <v>6500</v>
      </c>
    </row>
    <row r="51" spans="1:37" ht="14.25" customHeight="1" x14ac:dyDescent="0.3">
      <c r="A51" s="83" t="s">
        <v>273</v>
      </c>
      <c r="B51" s="35">
        <v>12000</v>
      </c>
      <c r="C51" s="35"/>
      <c r="D51" s="35">
        <v>0</v>
      </c>
      <c r="E51" s="35">
        <v>0</v>
      </c>
      <c r="F51" s="35">
        <v>0</v>
      </c>
      <c r="G51" s="35">
        <v>0</v>
      </c>
      <c r="H51" s="35">
        <v>4450.18</v>
      </c>
      <c r="I51" s="35">
        <v>0</v>
      </c>
      <c r="J51" s="35">
        <v>0</v>
      </c>
      <c r="K51" s="35">
        <v>7549.82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5">
        <v>0</v>
      </c>
      <c r="AJ51" s="35">
        <f t="shared" si="24"/>
        <v>12000</v>
      </c>
      <c r="AK51" s="35">
        <f t="shared" si="25"/>
        <v>0</v>
      </c>
    </row>
    <row r="52" spans="1:37" ht="14.25" customHeight="1" x14ac:dyDescent="0.3">
      <c r="A52" s="84" t="s">
        <v>326</v>
      </c>
      <c r="B52" s="88">
        <v>0</v>
      </c>
      <c r="C52" s="35"/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  <c r="U52" s="35">
        <v>0</v>
      </c>
      <c r="V52" s="35">
        <v>0</v>
      </c>
      <c r="W52" s="35">
        <v>0</v>
      </c>
      <c r="X52" s="35">
        <v>0</v>
      </c>
      <c r="Y52" s="35">
        <v>0</v>
      </c>
      <c r="Z52" s="35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5">
        <f t="shared" ref="AJ52" si="33">SUM(C52:AI52)</f>
        <v>0</v>
      </c>
      <c r="AK52" s="35">
        <f t="shared" ref="AK52" si="34">B52-AJ52</f>
        <v>0</v>
      </c>
    </row>
    <row r="53" spans="1:37" ht="14.25" customHeight="1" x14ac:dyDescent="0.3">
      <c r="A53" s="94" t="s">
        <v>341</v>
      </c>
      <c r="B53" s="97">
        <f>+SUM(B47:B52)</f>
        <v>60445.42</v>
      </c>
      <c r="C53" s="96">
        <f>+SUM(B47:B52)/680</f>
        <v>88.890323529411759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</row>
    <row r="54" spans="1:37" ht="14.25" customHeight="1" x14ac:dyDescent="0.3">
      <c r="A54" s="82" t="s">
        <v>320</v>
      </c>
      <c r="B54" s="35">
        <f>1380+1322.5</f>
        <v>2702.5</v>
      </c>
      <c r="C54" s="35"/>
      <c r="D54" s="35">
        <v>0</v>
      </c>
      <c r="E54" s="90">
        <f>1190.25+300</f>
        <v>1490.25</v>
      </c>
      <c r="F54" s="150">
        <v>621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5">
        <f t="shared" si="24"/>
        <v>2111.25</v>
      </c>
      <c r="AK54" s="35">
        <f t="shared" si="25"/>
        <v>591.25</v>
      </c>
    </row>
    <row r="55" spans="1:37" ht="14.25" customHeight="1" x14ac:dyDescent="0.3">
      <c r="A55" s="82" t="s">
        <v>321</v>
      </c>
      <c r="B55" s="35">
        <f>125.03+1133.43+4450.18</f>
        <v>5708.64</v>
      </c>
      <c r="C55" s="35"/>
      <c r="D55" s="35">
        <v>0</v>
      </c>
      <c r="E55" s="35">
        <v>0</v>
      </c>
      <c r="F55" s="35">
        <v>0</v>
      </c>
      <c r="G55" s="35">
        <v>0</v>
      </c>
      <c r="H55" s="35">
        <v>0</v>
      </c>
      <c r="I55" s="88">
        <f>4372.73-20.66+525.85</f>
        <v>4877.92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5">
        <f t="shared" si="24"/>
        <v>4877.92</v>
      </c>
      <c r="AK55" s="35">
        <f t="shared" si="25"/>
        <v>830.72000000000025</v>
      </c>
    </row>
    <row r="56" spans="1:37" ht="14.25" customHeight="1" x14ac:dyDescent="0.3">
      <c r="A56" s="11" t="s">
        <v>287</v>
      </c>
      <c r="B56" s="35">
        <v>3450</v>
      </c>
      <c r="C56" s="35"/>
      <c r="D56" s="35">
        <v>0</v>
      </c>
      <c r="E56" s="35">
        <f>+B56*30%</f>
        <v>1035</v>
      </c>
      <c r="F56" s="150">
        <v>1725</v>
      </c>
      <c r="G56" s="35">
        <f>+B56*30%</f>
        <v>1035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f t="shared" ref="T56" si="35">SUM(D56:S56)</f>
        <v>3795</v>
      </c>
      <c r="U56" s="35">
        <f t="shared" ref="U56" si="36">B56-T56</f>
        <v>-345</v>
      </c>
      <c r="V56" s="35">
        <v>0</v>
      </c>
      <c r="W56" s="35">
        <v>0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  <c r="AJ56" s="35">
        <f t="shared" ref="AJ56:AJ57" si="37">SUM(C56:AI56)</f>
        <v>7245</v>
      </c>
      <c r="AK56" s="35">
        <f t="shared" ref="AK56:AK57" si="38">B56-AJ56</f>
        <v>-3795</v>
      </c>
    </row>
    <row r="57" spans="1:37" ht="14.25" customHeight="1" x14ac:dyDescent="0.3">
      <c r="A57" s="11" t="s">
        <v>290</v>
      </c>
      <c r="B57" s="35">
        <v>2643.85</v>
      </c>
      <c r="C57" s="35"/>
      <c r="D57" s="35">
        <v>0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f>SUM(D57:S57)</f>
        <v>0</v>
      </c>
      <c r="U57" s="35">
        <f>B57-T57</f>
        <v>2643.85</v>
      </c>
      <c r="V57" s="35">
        <v>0</v>
      </c>
      <c r="W57" s="35">
        <v>0</v>
      </c>
      <c r="X57" s="35">
        <v>0</v>
      </c>
      <c r="Y57" s="35">
        <v>0</v>
      </c>
      <c r="Z57" s="35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  <c r="AJ57" s="35">
        <f t="shared" si="37"/>
        <v>2643.85</v>
      </c>
      <c r="AK57" s="35">
        <f t="shared" si="38"/>
        <v>0</v>
      </c>
    </row>
    <row r="58" spans="1:37" ht="14.25" customHeight="1" x14ac:dyDescent="0.3">
      <c r="A58" s="94" t="s">
        <v>342</v>
      </c>
      <c r="B58" s="97">
        <f>+SUM(B54:B57)</f>
        <v>14504.99</v>
      </c>
      <c r="C58" s="96">
        <f>+SUM(B54:B57)/200</f>
        <v>72.524950000000004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</row>
    <row r="59" spans="1:37" ht="14.25" customHeight="1" x14ac:dyDescent="0.3">
      <c r="A59" s="61" t="s">
        <v>211</v>
      </c>
      <c r="B59" s="65">
        <v>40089</v>
      </c>
      <c r="C59" s="65"/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  <c r="U59" s="35">
        <v>0</v>
      </c>
      <c r="V59" s="35">
        <v>0</v>
      </c>
      <c r="W59" s="35">
        <v>0</v>
      </c>
      <c r="X59" s="35">
        <v>0</v>
      </c>
      <c r="Y59" s="35">
        <v>0</v>
      </c>
      <c r="Z59" s="35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f t="shared" ref="AG59:AI59" si="39">+AF59</f>
        <v>0</v>
      </c>
      <c r="AH59" s="35">
        <f t="shared" si="39"/>
        <v>0</v>
      </c>
      <c r="AI59" s="35">
        <f t="shared" si="39"/>
        <v>0</v>
      </c>
      <c r="AJ59" s="35">
        <f>SUM(C59:AI59)</f>
        <v>0</v>
      </c>
      <c r="AK59" s="35">
        <f>B59-AJ59</f>
        <v>40089</v>
      </c>
    </row>
    <row r="60" spans="1:37" ht="14.25" customHeight="1" x14ac:dyDescent="0.3">
      <c r="A60" s="61" t="s">
        <v>212</v>
      </c>
      <c r="B60" s="65">
        <v>80568</v>
      </c>
      <c r="C60" s="65"/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f t="shared" ref="AG60:AI60" si="40">+AF60</f>
        <v>0</v>
      </c>
      <c r="AH60" s="35">
        <f t="shared" si="40"/>
        <v>0</v>
      </c>
      <c r="AI60" s="35">
        <f t="shared" si="40"/>
        <v>0</v>
      </c>
      <c r="AJ60" s="35">
        <f>SUM(C60:AI60)</f>
        <v>0</v>
      </c>
      <c r="AK60" s="35">
        <f>B60-AJ60</f>
        <v>80568</v>
      </c>
    </row>
    <row r="61" spans="1:37" ht="14.25" customHeight="1" x14ac:dyDescent="0.3">
      <c r="A61" s="94" t="s">
        <v>343</v>
      </c>
      <c r="B61" s="97">
        <f>+SUM(B59:B60)</f>
        <v>120657</v>
      </c>
      <c r="C61" s="96">
        <f>+B61/6000</f>
        <v>20.109500000000001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</row>
    <row r="62" spans="1:37" ht="15.6" customHeight="1" x14ac:dyDescent="0.3">
      <c r="A62" s="72" t="s">
        <v>313</v>
      </c>
      <c r="B62" s="65">
        <f>900*40</f>
        <v>36000</v>
      </c>
      <c r="C62" s="99">
        <f>+B62/900</f>
        <v>40</v>
      </c>
      <c r="D62" s="35">
        <v>0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65">
        <f>+B62/6</f>
        <v>6000</v>
      </c>
      <c r="M62" s="65">
        <f>+L62</f>
        <v>6000</v>
      </c>
      <c r="N62" s="65">
        <f>+M62</f>
        <v>6000</v>
      </c>
      <c r="O62" s="65">
        <f>+N62/2</f>
        <v>3000</v>
      </c>
      <c r="P62" s="65">
        <f>+N62</f>
        <v>6000</v>
      </c>
      <c r="Q62" s="65">
        <f t="shared" ref="Q62" si="41">+P62</f>
        <v>6000</v>
      </c>
      <c r="R62" s="35">
        <f>+O62</f>
        <v>3000</v>
      </c>
      <c r="S62" s="35">
        <v>0</v>
      </c>
      <c r="T62" s="35">
        <v>0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0</v>
      </c>
      <c r="AJ62" s="35">
        <f t="shared" si="24"/>
        <v>36040</v>
      </c>
      <c r="AK62" s="35">
        <f t="shared" si="25"/>
        <v>-40</v>
      </c>
    </row>
    <row r="63" spans="1:37" ht="15.6" customHeight="1" x14ac:dyDescent="0.3">
      <c r="A63" s="73" t="s">
        <v>314</v>
      </c>
      <c r="B63" s="65">
        <f>432*C36</f>
        <v>49001.771298461535</v>
      </c>
      <c r="C63" s="99">
        <f>+B63/432</f>
        <v>113.43002615384614</v>
      </c>
      <c r="D63" s="35">
        <v>0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  <c r="U63" s="35">
        <v>0</v>
      </c>
      <c r="V63" s="35">
        <v>0</v>
      </c>
      <c r="W63" s="35">
        <v>0</v>
      </c>
      <c r="X63" s="35">
        <v>0</v>
      </c>
      <c r="Y63" s="35">
        <f>+B63/8</f>
        <v>6125.2214123076919</v>
      </c>
      <c r="Z63" s="35">
        <f>+Y63</f>
        <v>6125.2214123076919</v>
      </c>
      <c r="AA63" s="35">
        <f>+Z63</f>
        <v>6125.2214123076919</v>
      </c>
      <c r="AB63" s="35">
        <f t="shared" ref="AB63:AE63" si="42">+AA63</f>
        <v>6125.2214123076919</v>
      </c>
      <c r="AC63" s="35">
        <f t="shared" si="42"/>
        <v>6125.2214123076919</v>
      </c>
      <c r="AD63" s="35">
        <f t="shared" si="42"/>
        <v>6125.2214123076919</v>
      </c>
      <c r="AE63" s="35">
        <f t="shared" si="42"/>
        <v>6125.2214123076919</v>
      </c>
      <c r="AF63" s="35">
        <f>+AE63</f>
        <v>6125.2214123076919</v>
      </c>
      <c r="AG63" s="35">
        <v>0</v>
      </c>
      <c r="AH63" s="35">
        <v>0</v>
      </c>
      <c r="AI63" s="35">
        <v>0</v>
      </c>
      <c r="AJ63" s="35">
        <f t="shared" si="24"/>
        <v>49115.20132461538</v>
      </c>
      <c r="AK63" s="35">
        <f t="shared" si="25"/>
        <v>-113.43002615384466</v>
      </c>
    </row>
    <row r="64" spans="1:37" ht="15.6" customHeight="1" x14ac:dyDescent="0.3">
      <c r="A64" s="74" t="s">
        <v>315</v>
      </c>
      <c r="B64" s="65">
        <f>750*C36</f>
        <v>85072.519615384605</v>
      </c>
      <c r="C64" s="99">
        <f>+B64/750</f>
        <v>113.43002615384614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65">
        <f>+B64/12</f>
        <v>7089.3766346153834</v>
      </c>
      <c r="M64" s="65">
        <f>+L64</f>
        <v>7089.3766346153834</v>
      </c>
      <c r="N64" s="65">
        <f>+M64</f>
        <v>7089.3766346153834</v>
      </c>
      <c r="O64" s="65">
        <f>+N64/2</f>
        <v>3544.6883173076917</v>
      </c>
      <c r="P64" s="65">
        <f>+N64</f>
        <v>7089.3766346153834</v>
      </c>
      <c r="Q64" s="65">
        <f t="shared" ref="Q64:W64" si="43">+P64</f>
        <v>7089.3766346153834</v>
      </c>
      <c r="R64" s="65">
        <f t="shared" si="43"/>
        <v>7089.3766346153834</v>
      </c>
      <c r="S64" s="65">
        <f t="shared" si="43"/>
        <v>7089.3766346153834</v>
      </c>
      <c r="T64" s="65">
        <f t="shared" si="43"/>
        <v>7089.3766346153834</v>
      </c>
      <c r="U64" s="65">
        <f t="shared" si="43"/>
        <v>7089.3766346153834</v>
      </c>
      <c r="V64" s="65">
        <f t="shared" si="43"/>
        <v>7089.3766346153834</v>
      </c>
      <c r="W64" s="65">
        <f t="shared" si="43"/>
        <v>7089.3766346153834</v>
      </c>
      <c r="X64" s="65">
        <f>+O64</f>
        <v>3544.6883173076917</v>
      </c>
      <c r="Y64" s="35">
        <v>0</v>
      </c>
      <c r="Z64" s="35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0</v>
      </c>
      <c r="AJ64" s="35">
        <f t="shared" si="24"/>
        <v>85185.949641538464</v>
      </c>
      <c r="AK64" s="35">
        <f t="shared" si="25"/>
        <v>-113.43002615385922</v>
      </c>
    </row>
    <row r="65" spans="1:43" ht="15.6" customHeight="1" x14ac:dyDescent="0.3">
      <c r="A65" s="75" t="s">
        <v>316</v>
      </c>
      <c r="B65" s="65">
        <f>600*C36</f>
        <v>68058.015692307687</v>
      </c>
      <c r="C65" s="99">
        <f>+B65/600</f>
        <v>113.43002615384614</v>
      </c>
      <c r="D65" s="35">
        <v>0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  <c r="U65" s="35">
        <v>0</v>
      </c>
      <c r="V65" s="35">
        <v>0</v>
      </c>
      <c r="W65" s="35">
        <v>0</v>
      </c>
      <c r="X65" s="65">
        <f>+B65/12</f>
        <v>5671.5013076923069</v>
      </c>
      <c r="Y65" s="65">
        <f>+X65</f>
        <v>5671.5013076923069</v>
      </c>
      <c r="Z65" s="65">
        <f t="shared" ref="Z65:AI65" si="44">+Y65</f>
        <v>5671.5013076923069</v>
      </c>
      <c r="AA65" s="65">
        <f t="shared" si="44"/>
        <v>5671.5013076923069</v>
      </c>
      <c r="AB65" s="65">
        <f t="shared" si="44"/>
        <v>5671.5013076923069</v>
      </c>
      <c r="AC65" s="65">
        <f t="shared" si="44"/>
        <v>5671.5013076923069</v>
      </c>
      <c r="AD65" s="65">
        <f t="shared" si="44"/>
        <v>5671.5013076923069</v>
      </c>
      <c r="AE65" s="65">
        <f t="shared" si="44"/>
        <v>5671.5013076923069</v>
      </c>
      <c r="AF65" s="65">
        <f t="shared" si="44"/>
        <v>5671.5013076923069</v>
      </c>
      <c r="AG65" s="65">
        <f t="shared" si="44"/>
        <v>5671.5013076923069</v>
      </c>
      <c r="AH65" s="65">
        <f t="shared" si="44"/>
        <v>5671.5013076923069</v>
      </c>
      <c r="AI65" s="65">
        <f t="shared" si="44"/>
        <v>5671.5013076923069</v>
      </c>
      <c r="AJ65" s="35">
        <f t="shared" si="24"/>
        <v>68171.445718461531</v>
      </c>
      <c r="AK65" s="35">
        <f t="shared" si="25"/>
        <v>-113.43002615384466</v>
      </c>
    </row>
    <row r="66" spans="1:43" ht="14.25" customHeight="1" x14ac:dyDescent="0.3">
      <c r="A66" s="92" t="s">
        <v>262</v>
      </c>
      <c r="B66" s="98">
        <f>+B65+B64+B63+B62+B61+B58+B53+B46+B36</f>
        <v>596513.17060615378</v>
      </c>
      <c r="C66" s="95">
        <f>+(B66-B61)/(600+750+432+900+680+150+1300)</f>
        <v>98.889478513332037</v>
      </c>
      <c r="D66" s="38">
        <f t="shared" ref="D66:AK66" si="45">SUM(D23:D65)</f>
        <v>12449.390000000001</v>
      </c>
      <c r="E66" s="38">
        <f t="shared" si="45"/>
        <v>13171.750000000002</v>
      </c>
      <c r="F66" s="38">
        <f t="shared" si="45"/>
        <v>10043.459999999999</v>
      </c>
      <c r="G66" s="38">
        <f t="shared" si="45"/>
        <v>10795.711428571429</v>
      </c>
      <c r="H66" s="38">
        <f t="shared" si="45"/>
        <v>10619.043428571429</v>
      </c>
      <c r="I66" s="38">
        <f t="shared" si="45"/>
        <v>8013.3514285714282</v>
      </c>
      <c r="J66" s="38">
        <f t="shared" si="45"/>
        <v>3126.4614285714288</v>
      </c>
      <c r="K66" s="38">
        <f t="shared" si="45"/>
        <v>10286.555428571428</v>
      </c>
      <c r="L66" s="38">
        <f t="shared" si="45"/>
        <v>14017.946634615382</v>
      </c>
      <c r="M66" s="38">
        <f t="shared" si="45"/>
        <v>13089.376634615382</v>
      </c>
      <c r="N66" s="38">
        <f t="shared" si="45"/>
        <v>13089.376634615382</v>
      </c>
      <c r="O66" s="38">
        <f t="shared" si="45"/>
        <v>6544.6883173076912</v>
      </c>
      <c r="P66" s="38">
        <f t="shared" si="45"/>
        <v>13089.376634615382</v>
      </c>
      <c r="Q66" s="38">
        <f t="shared" si="45"/>
        <v>13089.376634615382</v>
      </c>
      <c r="R66" s="38">
        <f t="shared" si="45"/>
        <v>10089.376634615382</v>
      </c>
      <c r="S66" s="38">
        <f t="shared" si="45"/>
        <v>7089.3766346153834</v>
      </c>
      <c r="T66" s="38">
        <f t="shared" si="45"/>
        <v>10884.376634615382</v>
      </c>
      <c r="U66" s="38">
        <f t="shared" si="45"/>
        <v>9388.2266346153829</v>
      </c>
      <c r="V66" s="38">
        <f t="shared" si="45"/>
        <v>7089.3766346153834</v>
      </c>
      <c r="W66" s="38">
        <f t="shared" si="45"/>
        <v>7089.3766346153834</v>
      </c>
      <c r="X66" s="38">
        <f t="shared" si="45"/>
        <v>9216.1896249999991</v>
      </c>
      <c r="Y66" s="38">
        <f t="shared" si="45"/>
        <v>11796.722719999998</v>
      </c>
      <c r="Z66" s="38">
        <f t="shared" si="45"/>
        <v>11796.722719999998</v>
      </c>
      <c r="AA66" s="38">
        <f t="shared" si="45"/>
        <v>11796.722719999998</v>
      </c>
      <c r="AB66" s="38">
        <f t="shared" si="45"/>
        <v>11796.722719999998</v>
      </c>
      <c r="AC66" s="38">
        <f t="shared" si="45"/>
        <v>11796.722719999998</v>
      </c>
      <c r="AD66" s="38">
        <f t="shared" si="45"/>
        <v>11796.722719999998</v>
      </c>
      <c r="AE66" s="38">
        <f t="shared" si="45"/>
        <v>11796.722719999998</v>
      </c>
      <c r="AF66" s="38">
        <f t="shared" si="45"/>
        <v>11796.722719999998</v>
      </c>
      <c r="AG66" s="38">
        <f t="shared" si="45"/>
        <v>5671.5013076923069</v>
      </c>
      <c r="AH66" s="38">
        <f t="shared" si="45"/>
        <v>5671.5013076923069</v>
      </c>
      <c r="AI66" s="38">
        <f t="shared" si="45"/>
        <v>5671.5013076923069</v>
      </c>
      <c r="AJ66" s="38">
        <f t="shared" si="45"/>
        <v>435312.94982747256</v>
      </c>
      <c r="AK66" s="38">
        <f t="shared" si="45"/>
        <v>161200.22077868128</v>
      </c>
    </row>
    <row r="67" spans="1:43" ht="14.25" customHeight="1" x14ac:dyDescent="0.3"/>
    <row r="68" spans="1:43" ht="18" customHeight="1" x14ac:dyDescent="0.3">
      <c r="A68" s="48" t="s">
        <v>263</v>
      </c>
      <c r="B68" s="49"/>
      <c r="C68" s="49"/>
      <c r="D68" s="50">
        <f t="shared" ref="D68:AI68" si="46">D21+D66</f>
        <v>13199.86</v>
      </c>
      <c r="E68" s="50">
        <f t="shared" si="46"/>
        <v>14908.370000000003</v>
      </c>
      <c r="F68" s="50">
        <f t="shared" si="46"/>
        <v>10043.459999999999</v>
      </c>
      <c r="G68" s="50">
        <f t="shared" si="46"/>
        <v>12550.711428571429</v>
      </c>
      <c r="H68" s="50">
        <f t="shared" si="46"/>
        <v>11289.223428571429</v>
      </c>
      <c r="I68" s="50">
        <f t="shared" si="46"/>
        <v>9058.3514285714282</v>
      </c>
      <c r="J68" s="50">
        <f t="shared" si="46"/>
        <v>3126.4614285714288</v>
      </c>
      <c r="K68" s="50">
        <f t="shared" si="46"/>
        <v>12041.555428571428</v>
      </c>
      <c r="L68" s="50">
        <f t="shared" si="46"/>
        <v>14642.536634615382</v>
      </c>
      <c r="M68" s="50">
        <f t="shared" si="46"/>
        <v>14134.376634615382</v>
      </c>
      <c r="N68" s="50">
        <f t="shared" si="46"/>
        <v>13089.376634615382</v>
      </c>
      <c r="O68" s="50">
        <f t="shared" si="46"/>
        <v>8299.6883173076912</v>
      </c>
      <c r="P68" s="50">
        <f t="shared" si="46"/>
        <v>13713.966634615383</v>
      </c>
      <c r="Q68" s="50">
        <f t="shared" si="46"/>
        <v>14134.376634615382</v>
      </c>
      <c r="R68" s="50">
        <f t="shared" si="46"/>
        <v>10089.376634615382</v>
      </c>
      <c r="S68" s="50">
        <f t="shared" si="46"/>
        <v>8844.3766346153825</v>
      </c>
      <c r="T68" s="50">
        <f t="shared" si="46"/>
        <v>11508.966634615383</v>
      </c>
      <c r="U68" s="50">
        <f t="shared" si="46"/>
        <v>10433.226634615383</v>
      </c>
      <c r="V68" s="50">
        <f t="shared" si="46"/>
        <v>7089.3766346153834</v>
      </c>
      <c r="W68" s="50">
        <f t="shared" si="46"/>
        <v>8844.3766346153825</v>
      </c>
      <c r="X68" s="50">
        <f t="shared" si="46"/>
        <v>9840.7796249999992</v>
      </c>
      <c r="Y68" s="50">
        <f t="shared" si="46"/>
        <v>12841.722719999998</v>
      </c>
      <c r="Z68" s="50">
        <f t="shared" si="46"/>
        <v>11796.722719999998</v>
      </c>
      <c r="AA68" s="50">
        <f t="shared" si="46"/>
        <v>13551.722719999998</v>
      </c>
      <c r="AB68" s="50">
        <f t="shared" si="46"/>
        <v>12421.312719999998</v>
      </c>
      <c r="AC68" s="50">
        <f t="shared" si="46"/>
        <v>12841.722719999998</v>
      </c>
      <c r="AD68" s="50">
        <f t="shared" si="46"/>
        <v>11796.722719999998</v>
      </c>
      <c r="AE68" s="50">
        <f t="shared" si="46"/>
        <v>13551.722719999998</v>
      </c>
      <c r="AF68" s="50">
        <f t="shared" si="46"/>
        <v>12421.312719999998</v>
      </c>
      <c r="AG68" s="50">
        <f t="shared" si="46"/>
        <v>6716.5013076923069</v>
      </c>
      <c r="AH68" s="50">
        <f t="shared" si="46"/>
        <v>5671.5013076923069</v>
      </c>
      <c r="AI68" s="50">
        <f t="shared" si="46"/>
        <v>7426.5013076923069</v>
      </c>
      <c r="AJ68" s="49"/>
      <c r="AK68" s="49"/>
      <c r="AL68" s="49"/>
      <c r="AM68" s="49"/>
      <c r="AN68" s="49"/>
      <c r="AO68" s="49"/>
      <c r="AP68" s="49"/>
      <c r="AQ68" s="49"/>
    </row>
    <row r="69" spans="1:43" ht="18" customHeight="1" x14ac:dyDescent="0.3">
      <c r="A69" s="15" t="s">
        <v>264</v>
      </c>
      <c r="B69" s="49"/>
      <c r="C69" s="49"/>
      <c r="D69" s="51">
        <f t="shared" ref="D69:AI69" si="47">D11-D68</f>
        <v>11765.84</v>
      </c>
      <c r="E69" s="51">
        <f t="shared" si="47"/>
        <v>7719.0699999999961</v>
      </c>
      <c r="F69" s="51">
        <f t="shared" si="47"/>
        <v>4841</v>
      </c>
      <c r="G69" s="51">
        <f t="shared" si="47"/>
        <v>-7258.8594285714289</v>
      </c>
      <c r="H69" s="51">
        <f t="shared" si="47"/>
        <v>21356.70257142857</v>
      </c>
      <c r="I69" s="51">
        <f t="shared" si="47"/>
        <v>-1120.5734285714288</v>
      </c>
      <c r="J69" s="51">
        <f t="shared" si="47"/>
        <v>7457.242571428571</v>
      </c>
      <c r="K69" s="51">
        <f t="shared" si="47"/>
        <v>-6749.703428571428</v>
      </c>
      <c r="L69" s="51">
        <f t="shared" si="47"/>
        <v>-11996.610634615383</v>
      </c>
      <c r="M69" s="51">
        <f t="shared" si="47"/>
        <v>-6196.5986346153832</v>
      </c>
      <c r="N69" s="51">
        <f t="shared" si="47"/>
        <v>-2505.6726346153828</v>
      </c>
      <c r="O69" s="51">
        <f t="shared" si="47"/>
        <v>-3007.8363173076914</v>
      </c>
      <c r="P69" s="51">
        <f t="shared" si="47"/>
        <v>18931.959365384617</v>
      </c>
      <c r="Q69" s="51">
        <f t="shared" si="47"/>
        <v>-6196.5986346153832</v>
      </c>
      <c r="R69" s="51">
        <f t="shared" si="47"/>
        <v>494.32736538461722</v>
      </c>
      <c r="S69" s="51">
        <f t="shared" si="47"/>
        <v>-3552.5246346153826</v>
      </c>
      <c r="T69" s="51">
        <f t="shared" si="47"/>
        <v>-8863.0406346153832</v>
      </c>
      <c r="U69" s="51">
        <f t="shared" si="47"/>
        <v>1614.5513653846156</v>
      </c>
      <c r="V69" s="51">
        <f t="shared" si="47"/>
        <v>3494.3273653846163</v>
      </c>
      <c r="W69" s="51">
        <f t="shared" si="47"/>
        <v>-3552.5246346153826</v>
      </c>
      <c r="X69" s="51">
        <f t="shared" si="47"/>
        <v>22805.146375</v>
      </c>
      <c r="Y69" s="51">
        <f t="shared" si="47"/>
        <v>-4903.9447199999986</v>
      </c>
      <c r="Z69" s="51">
        <f t="shared" si="47"/>
        <v>2896.9812800000018</v>
      </c>
      <c r="AA69" s="51">
        <f t="shared" si="47"/>
        <v>-8259.870719999999</v>
      </c>
      <c r="AB69" s="51">
        <f t="shared" si="47"/>
        <v>-9775.3867199999986</v>
      </c>
      <c r="AC69" s="51">
        <f t="shared" si="47"/>
        <v>-4903.9447199999986</v>
      </c>
      <c r="AD69" s="51">
        <f t="shared" si="47"/>
        <v>2896.9812800000018</v>
      </c>
      <c r="AE69" s="51">
        <f t="shared" si="47"/>
        <v>-8259.870719999999</v>
      </c>
      <c r="AF69" s="51">
        <f t="shared" si="47"/>
        <v>-9775.3867199999986</v>
      </c>
      <c r="AG69" s="51">
        <f t="shared" si="47"/>
        <v>5331.2766923076915</v>
      </c>
      <c r="AH69" s="51">
        <f t="shared" si="47"/>
        <v>4912.2026923076928</v>
      </c>
      <c r="AI69" s="51">
        <f t="shared" si="47"/>
        <v>-2134.649307692307</v>
      </c>
      <c r="AJ69" s="49"/>
      <c r="AK69" s="49"/>
      <c r="AL69" s="49"/>
      <c r="AM69" s="49"/>
      <c r="AN69" s="49"/>
      <c r="AO69" s="49"/>
      <c r="AP69" s="49"/>
      <c r="AQ69" s="49"/>
    </row>
    <row r="70" spans="1:43" ht="18" customHeight="1" x14ac:dyDescent="0.3">
      <c r="A70" s="24" t="s">
        <v>265</v>
      </c>
      <c r="B70" s="49"/>
      <c r="C70" s="49"/>
      <c r="D70" s="52">
        <f t="shared" ref="D70:AI70" si="48">D6+D69</f>
        <v>31435.3</v>
      </c>
      <c r="E70" s="52">
        <f t="shared" si="48"/>
        <v>39154.369999999995</v>
      </c>
      <c r="F70" s="52">
        <f t="shared" si="48"/>
        <v>43995.369999999995</v>
      </c>
      <c r="G70" s="52">
        <f t="shared" si="48"/>
        <v>36736.510571428567</v>
      </c>
      <c r="H70" s="52">
        <f t="shared" si="48"/>
        <v>58093.213142857137</v>
      </c>
      <c r="I70" s="52">
        <f t="shared" si="48"/>
        <v>56972.639714285709</v>
      </c>
      <c r="J70" s="52">
        <f t="shared" si="48"/>
        <v>64429.88228571428</v>
      </c>
      <c r="K70" s="52">
        <f t="shared" si="48"/>
        <v>57680.178857142855</v>
      </c>
      <c r="L70" s="52">
        <f t="shared" si="48"/>
        <v>45683.568222527472</v>
      </c>
      <c r="M70" s="52">
        <f t="shared" si="48"/>
        <v>39486.969587912092</v>
      </c>
      <c r="N70" s="52">
        <f t="shared" si="48"/>
        <v>36981.296953296711</v>
      </c>
      <c r="O70" s="52">
        <f t="shared" si="48"/>
        <v>33973.460635989017</v>
      </c>
      <c r="P70" s="52">
        <f t="shared" si="48"/>
        <v>52905.420001373634</v>
      </c>
      <c r="Q70" s="52">
        <f t="shared" si="48"/>
        <v>46708.821366758253</v>
      </c>
      <c r="R70" s="52">
        <f t="shared" si="48"/>
        <v>47203.148732142872</v>
      </c>
      <c r="S70" s="52">
        <f t="shared" si="48"/>
        <v>43650.624097527492</v>
      </c>
      <c r="T70" s="52">
        <f t="shared" si="48"/>
        <v>34787.583462912109</v>
      </c>
      <c r="U70" s="52">
        <f t="shared" si="48"/>
        <v>36402.134828296723</v>
      </c>
      <c r="V70" s="52">
        <f t="shared" si="48"/>
        <v>39896.462193681342</v>
      </c>
      <c r="W70" s="52">
        <f t="shared" si="48"/>
        <v>36343.937559065962</v>
      </c>
      <c r="X70" s="52">
        <f t="shared" si="48"/>
        <v>59149.083934065959</v>
      </c>
      <c r="Y70" s="52">
        <f t="shared" si="48"/>
        <v>54245.139214065959</v>
      </c>
      <c r="Z70" s="52">
        <f t="shared" si="48"/>
        <v>57142.120494065959</v>
      </c>
      <c r="AA70" s="52">
        <f t="shared" si="48"/>
        <v>48882.24977406596</v>
      </c>
      <c r="AB70" s="52">
        <f t="shared" si="48"/>
        <v>39106.863054065965</v>
      </c>
      <c r="AC70" s="52">
        <f t="shared" si="48"/>
        <v>34202.918334065966</v>
      </c>
      <c r="AD70" s="52">
        <f t="shared" si="48"/>
        <v>37099.899614065966</v>
      </c>
      <c r="AE70" s="52">
        <f t="shared" si="48"/>
        <v>28840.028894065967</v>
      </c>
      <c r="AF70" s="52">
        <f t="shared" si="48"/>
        <v>19064.642174065968</v>
      </c>
      <c r="AG70" s="52">
        <f t="shared" si="48"/>
        <v>24395.91886637366</v>
      </c>
      <c r="AH70" s="52">
        <f t="shared" si="48"/>
        <v>29308.121558681352</v>
      </c>
      <c r="AI70" s="52">
        <f t="shared" si="48"/>
        <v>27173.472250989045</v>
      </c>
      <c r="AJ70" s="49"/>
      <c r="AK70" s="49"/>
      <c r="AL70" s="49"/>
      <c r="AM70" s="49"/>
      <c r="AN70" s="49"/>
      <c r="AO70" s="49"/>
      <c r="AP70" s="49"/>
      <c r="AQ70" s="49"/>
    </row>
    <row r="71" spans="1:43" ht="14.25" customHeight="1" x14ac:dyDescent="0.3"/>
    <row r="72" spans="1:43" ht="14.25" customHeight="1" x14ac:dyDescent="0.3">
      <c r="A72" s="39" t="s">
        <v>266</v>
      </c>
      <c r="D72" s="53">
        <f>PARAMETROS!$B$28</f>
        <v>24885.54</v>
      </c>
      <c r="E72" s="53">
        <f>PARAMETROS!$B$28</f>
        <v>24885.54</v>
      </c>
      <c r="F72" s="53">
        <f>PARAMETROS!$B$28</f>
        <v>24885.54</v>
      </c>
      <c r="G72" s="53">
        <f>PARAMETROS!$B$28</f>
        <v>24885.54</v>
      </c>
      <c r="H72" s="53">
        <f>PARAMETROS!$B$28</f>
        <v>24885.54</v>
      </c>
      <c r="I72" s="53">
        <f>PARAMETROS!$B$28</f>
        <v>24885.54</v>
      </c>
      <c r="J72" s="53">
        <f>PARAMETROS!$B$28</f>
        <v>24885.54</v>
      </c>
      <c r="K72" s="53">
        <f>PARAMETROS!$B$28</f>
        <v>24885.54</v>
      </c>
      <c r="L72" s="53">
        <f>PARAMETROS!$B$28</f>
        <v>24885.54</v>
      </c>
      <c r="M72" s="53">
        <f>PARAMETROS!$B$28</f>
        <v>24885.54</v>
      </c>
      <c r="N72" s="53">
        <f>PARAMETROS!$B$28</f>
        <v>24885.54</v>
      </c>
      <c r="O72" s="53">
        <f>PARAMETROS!$B$28</f>
        <v>24885.54</v>
      </c>
      <c r="P72" s="53">
        <f>PARAMETROS!$B$28</f>
        <v>24885.54</v>
      </c>
      <c r="Q72" s="53">
        <f>PARAMETROS!$B$28</f>
        <v>24885.54</v>
      </c>
      <c r="R72" s="53">
        <f>PARAMETROS!$B$28</f>
        <v>24885.54</v>
      </c>
      <c r="S72" s="53">
        <f>PARAMETROS!$B$28</f>
        <v>24885.54</v>
      </c>
      <c r="T72" s="53">
        <f>PARAMETROS!$B$28</f>
        <v>24885.54</v>
      </c>
      <c r="U72" s="53">
        <f>PARAMETROS!$B$28</f>
        <v>24885.54</v>
      </c>
      <c r="V72" s="53">
        <f>PARAMETROS!$B$28</f>
        <v>24885.54</v>
      </c>
      <c r="W72" s="53">
        <f>PARAMETROS!$B$28</f>
        <v>24885.54</v>
      </c>
      <c r="X72" s="53">
        <f>PARAMETROS!$B$28</f>
        <v>24885.54</v>
      </c>
      <c r="Y72" s="53">
        <f>PARAMETROS!$B$28</f>
        <v>24885.54</v>
      </c>
      <c r="Z72" s="53">
        <f>PARAMETROS!$B$28</f>
        <v>24885.54</v>
      </c>
      <c r="AA72" s="53">
        <f>PARAMETROS!$B$28</f>
        <v>24885.54</v>
      </c>
      <c r="AB72" s="53">
        <f>PARAMETROS!$B$28</f>
        <v>24885.54</v>
      </c>
      <c r="AC72" s="53">
        <f>PARAMETROS!$B$28</f>
        <v>24885.54</v>
      </c>
      <c r="AD72" s="53">
        <f>PARAMETROS!$B$28</f>
        <v>24885.54</v>
      </c>
      <c r="AE72" s="53">
        <f>PARAMETROS!$B$28</f>
        <v>24885.54</v>
      </c>
      <c r="AF72" s="53">
        <f>PARAMETROS!$B$28</f>
        <v>24885.54</v>
      </c>
      <c r="AG72" s="53">
        <f>PARAMETROS!$B$28</f>
        <v>24885.54</v>
      </c>
      <c r="AH72" s="53">
        <f>PARAMETROS!$B$28</f>
        <v>24885.54</v>
      </c>
      <c r="AI72" s="53">
        <f>PARAMETROS!$B$28</f>
        <v>24885.54</v>
      </c>
    </row>
    <row r="73" spans="1:43" ht="14.25" customHeight="1" x14ac:dyDescent="0.3">
      <c r="A73" s="39" t="s">
        <v>267</v>
      </c>
      <c r="D73" s="54">
        <f t="shared" ref="D73:R73" si="49">D70-D72</f>
        <v>6549.7599999999984</v>
      </c>
      <c r="E73" s="54">
        <f t="shared" si="49"/>
        <v>14268.829999999994</v>
      </c>
      <c r="F73" s="54">
        <f t="shared" si="49"/>
        <v>19109.829999999994</v>
      </c>
      <c r="G73" s="54">
        <f t="shared" si="49"/>
        <v>11850.970571428566</v>
      </c>
      <c r="H73" s="54">
        <f t="shared" si="49"/>
        <v>33207.673142857137</v>
      </c>
      <c r="I73" s="54">
        <f t="shared" si="49"/>
        <v>32087.099714285709</v>
      </c>
      <c r="J73" s="54">
        <f t="shared" si="49"/>
        <v>39544.34228571428</v>
      </c>
      <c r="K73" s="54">
        <f t="shared" si="49"/>
        <v>32794.638857142854</v>
      </c>
      <c r="L73" s="54">
        <f t="shared" si="49"/>
        <v>20798.028222527471</v>
      </c>
      <c r="M73" s="54">
        <f t="shared" si="49"/>
        <v>14601.429587912091</v>
      </c>
      <c r="N73" s="54">
        <f t="shared" si="49"/>
        <v>12095.75695329671</v>
      </c>
      <c r="O73" s="54">
        <f t="shared" si="49"/>
        <v>9087.9206359890159</v>
      </c>
      <c r="P73" s="54">
        <f t="shared" si="49"/>
        <v>28019.880001373633</v>
      </c>
      <c r="Q73" s="54">
        <f t="shared" si="49"/>
        <v>21823.281366758252</v>
      </c>
      <c r="R73" s="54">
        <f t="shared" si="49"/>
        <v>22317.608732142871</v>
      </c>
      <c r="S73" s="54">
        <f t="shared" ref="S73:AI73" si="50">S70-S72</f>
        <v>18765.084097527491</v>
      </c>
      <c r="T73" s="54">
        <f t="shared" si="50"/>
        <v>9902.0434629121082</v>
      </c>
      <c r="U73" s="54">
        <f t="shared" si="50"/>
        <v>11516.594828296722</v>
      </c>
      <c r="V73" s="54">
        <f t="shared" si="50"/>
        <v>15010.922193681341</v>
      </c>
      <c r="W73" s="54">
        <f t="shared" si="50"/>
        <v>11458.397559065961</v>
      </c>
      <c r="X73" s="54">
        <f t="shared" si="50"/>
        <v>34263.543934065958</v>
      </c>
      <c r="Y73" s="54">
        <f t="shared" si="50"/>
        <v>29359.599214065958</v>
      </c>
      <c r="Z73" s="54">
        <f t="shared" si="50"/>
        <v>32256.580494065958</v>
      </c>
      <c r="AA73" s="54">
        <f t="shared" si="50"/>
        <v>23996.709774065959</v>
      </c>
      <c r="AB73" s="54">
        <f t="shared" si="50"/>
        <v>14221.323054065964</v>
      </c>
      <c r="AC73" s="54">
        <f t="shared" si="50"/>
        <v>9317.3783340659647</v>
      </c>
      <c r="AD73" s="54">
        <f t="shared" si="50"/>
        <v>12214.359614065965</v>
      </c>
      <c r="AE73" s="54">
        <f t="shared" si="50"/>
        <v>3954.4888940659657</v>
      </c>
      <c r="AF73" s="54">
        <f t="shared" si="50"/>
        <v>-5820.8978259340329</v>
      </c>
      <c r="AG73" s="54">
        <f t="shared" si="50"/>
        <v>-489.62113362634045</v>
      </c>
      <c r="AH73" s="54">
        <f t="shared" si="50"/>
        <v>4422.5815586813515</v>
      </c>
      <c r="AI73" s="54">
        <f t="shared" si="50"/>
        <v>2287.9322509890444</v>
      </c>
    </row>
    <row r="74" spans="1:43" ht="14.25" customHeight="1" x14ac:dyDescent="0.3">
      <c r="A74" s="15" t="s">
        <v>268</v>
      </c>
      <c r="D74" s="55" t="str">
        <f t="shared" ref="D74:R74" si="51">IF(D70&lt;0,"🔴 NEGATIVO",IF(D70&lt;D72,"🟠 ALERTA","🟢 OK"))</f>
        <v>🟢 OK</v>
      </c>
      <c r="E74" s="55" t="str">
        <f t="shared" si="51"/>
        <v>🟢 OK</v>
      </c>
      <c r="F74" s="55" t="str">
        <f t="shared" si="51"/>
        <v>🟢 OK</v>
      </c>
      <c r="G74" s="55" t="str">
        <f t="shared" si="51"/>
        <v>🟢 OK</v>
      </c>
      <c r="H74" s="55" t="str">
        <f t="shared" si="51"/>
        <v>🟢 OK</v>
      </c>
      <c r="I74" s="55" t="str">
        <f t="shared" si="51"/>
        <v>🟢 OK</v>
      </c>
      <c r="J74" s="55" t="str">
        <f t="shared" si="51"/>
        <v>🟢 OK</v>
      </c>
      <c r="K74" s="55" t="str">
        <f t="shared" si="51"/>
        <v>🟢 OK</v>
      </c>
      <c r="L74" s="55" t="str">
        <f t="shared" si="51"/>
        <v>🟢 OK</v>
      </c>
      <c r="M74" s="55" t="str">
        <f t="shared" si="51"/>
        <v>🟢 OK</v>
      </c>
      <c r="N74" s="55" t="str">
        <f t="shared" si="51"/>
        <v>🟢 OK</v>
      </c>
      <c r="O74" s="55" t="str">
        <f t="shared" si="51"/>
        <v>🟢 OK</v>
      </c>
      <c r="P74" s="55" t="str">
        <f t="shared" si="51"/>
        <v>🟢 OK</v>
      </c>
      <c r="Q74" s="55" t="str">
        <f t="shared" si="51"/>
        <v>🟢 OK</v>
      </c>
      <c r="R74" s="55" t="str">
        <f t="shared" si="51"/>
        <v>🟢 OK</v>
      </c>
      <c r="S74" s="55" t="str">
        <f t="shared" ref="S74:AI74" si="52">IF(S70&lt;0,"🔴 NEGATIVO",IF(S70&lt;S72,"🟠 ALERTA","🟢 OK"))</f>
        <v>🟢 OK</v>
      </c>
      <c r="T74" s="55" t="str">
        <f t="shared" si="52"/>
        <v>🟢 OK</v>
      </c>
      <c r="U74" s="55" t="str">
        <f t="shared" si="52"/>
        <v>🟢 OK</v>
      </c>
      <c r="V74" s="55" t="str">
        <f t="shared" si="52"/>
        <v>🟢 OK</v>
      </c>
      <c r="W74" s="55" t="str">
        <f t="shared" si="52"/>
        <v>🟢 OK</v>
      </c>
      <c r="X74" s="55" t="str">
        <f t="shared" si="52"/>
        <v>🟢 OK</v>
      </c>
      <c r="Y74" s="55" t="str">
        <f t="shared" si="52"/>
        <v>🟢 OK</v>
      </c>
      <c r="Z74" s="55" t="str">
        <f t="shared" si="52"/>
        <v>🟢 OK</v>
      </c>
      <c r="AA74" s="55" t="str">
        <f t="shared" si="52"/>
        <v>🟢 OK</v>
      </c>
      <c r="AB74" s="55" t="str">
        <f t="shared" si="52"/>
        <v>🟢 OK</v>
      </c>
      <c r="AC74" s="55" t="str">
        <f t="shared" si="52"/>
        <v>🟢 OK</v>
      </c>
      <c r="AD74" s="55" t="str">
        <f t="shared" si="52"/>
        <v>🟢 OK</v>
      </c>
      <c r="AE74" s="55" t="str">
        <f t="shared" si="52"/>
        <v>🟢 OK</v>
      </c>
      <c r="AF74" s="55" t="str">
        <f t="shared" si="52"/>
        <v>🟠 ALERTA</v>
      </c>
      <c r="AG74" s="55" t="str">
        <f t="shared" si="52"/>
        <v>🟠 ALERTA</v>
      </c>
      <c r="AH74" s="55" t="str">
        <f t="shared" si="52"/>
        <v>🟢 OK</v>
      </c>
      <c r="AI74" s="55" t="str">
        <f t="shared" si="52"/>
        <v>🟢 OK</v>
      </c>
    </row>
    <row r="75" spans="1:43" ht="14.25" customHeight="1" x14ac:dyDescent="0.3"/>
    <row r="76" spans="1:43" ht="14.25" customHeight="1" x14ac:dyDescent="0.3">
      <c r="A76" s="39" t="s">
        <v>269</v>
      </c>
      <c r="D76" s="56">
        <f t="shared" ref="D76:R76" si="53">MIN(0,E70-E72)</f>
        <v>0</v>
      </c>
      <c r="E76" s="56">
        <f t="shared" si="53"/>
        <v>0</v>
      </c>
      <c r="F76" s="56">
        <f t="shared" si="53"/>
        <v>0</v>
      </c>
      <c r="G76" s="56">
        <f t="shared" si="53"/>
        <v>0</v>
      </c>
      <c r="H76" s="56">
        <f t="shared" si="53"/>
        <v>0</v>
      </c>
      <c r="I76" s="56">
        <f t="shared" si="53"/>
        <v>0</v>
      </c>
      <c r="J76" s="56">
        <f t="shared" si="53"/>
        <v>0</v>
      </c>
      <c r="K76" s="56">
        <f t="shared" si="53"/>
        <v>0</v>
      </c>
      <c r="L76" s="56">
        <f t="shared" si="53"/>
        <v>0</v>
      </c>
      <c r="M76" s="56">
        <f>MIN(0,N70-N72)</f>
        <v>0</v>
      </c>
      <c r="N76" s="56">
        <f>MIN(0,O70-O72)</f>
        <v>0</v>
      </c>
      <c r="O76" s="56">
        <f t="shared" si="53"/>
        <v>0</v>
      </c>
      <c r="P76" s="56">
        <f t="shared" si="53"/>
        <v>0</v>
      </c>
      <c r="Q76" s="56">
        <f t="shared" si="53"/>
        <v>0</v>
      </c>
      <c r="R76" s="56">
        <f t="shared" si="53"/>
        <v>0</v>
      </c>
      <c r="S76" s="56">
        <f t="shared" ref="S76" si="54">MIN(0,T70-T72)</f>
        <v>0</v>
      </c>
      <c r="T76" s="56">
        <f t="shared" ref="T76" si="55">MIN(0,U70-U72)</f>
        <v>0</v>
      </c>
      <c r="U76" s="56">
        <f t="shared" ref="U76" si="56">MIN(0,V70-V72)</f>
        <v>0</v>
      </c>
      <c r="V76" s="56">
        <f t="shared" ref="V76" si="57">MIN(0,W70-W72)</f>
        <v>0</v>
      </c>
      <c r="W76" s="56">
        <f t="shared" ref="W76" si="58">MIN(0,X70-X72)</f>
        <v>0</v>
      </c>
      <c r="X76" s="56">
        <f t="shared" ref="X76" si="59">MIN(0,Y70-Y72)</f>
        <v>0</v>
      </c>
      <c r="Y76" s="56">
        <f t="shared" ref="Y76" si="60">MIN(0,Z70-Z72)</f>
        <v>0</v>
      </c>
      <c r="Z76" s="56">
        <f t="shared" ref="Z76" si="61">MIN(0,AA70-AA72)</f>
        <v>0</v>
      </c>
      <c r="AA76" s="56">
        <f t="shared" ref="AA76" si="62">MIN(0,AB70-AB72)</f>
        <v>0</v>
      </c>
      <c r="AB76" s="56">
        <f t="shared" ref="AB76" si="63">MIN(0,AC70-AC72)</f>
        <v>0</v>
      </c>
      <c r="AC76" s="56">
        <f t="shared" ref="AC76" si="64">MIN(0,AD70-AD72)</f>
        <v>0</v>
      </c>
      <c r="AD76" s="56">
        <f t="shared" ref="AD76" si="65">MIN(0,AE70-AE72)</f>
        <v>0</v>
      </c>
      <c r="AE76" s="56">
        <f t="shared" ref="AE76" si="66">MIN(0,AF70-AF72)</f>
        <v>-5820.8978259340329</v>
      </c>
      <c r="AF76" s="56">
        <f t="shared" ref="AF76" si="67">MIN(0,AG70-AG72)</f>
        <v>-489.62113362634045</v>
      </c>
      <c r="AG76" s="56">
        <f t="shared" ref="AG76" si="68">MIN(0,AH70-AH72)</f>
        <v>0</v>
      </c>
      <c r="AH76" s="56">
        <f t="shared" ref="AH76" si="69">MIN(0,AI70-AI72)</f>
        <v>0</v>
      </c>
      <c r="AI76" s="56">
        <f t="shared" ref="AI76" si="70">MIN(0,AJ70-AJ72)</f>
        <v>0</v>
      </c>
    </row>
    <row r="77" spans="1:43" ht="55.5" customHeight="1" x14ac:dyDescent="0.3">
      <c r="A77" s="57" t="s">
        <v>271</v>
      </c>
      <c r="B77" s="49"/>
      <c r="C77" s="49"/>
      <c r="D77" s="58" t="str">
        <f>IF(D76&lt;0,"Pedir "&amp;TEXT(-D76,"$#,#0")&amp;" ahora para SEM 38","No se requiere")</f>
        <v>No se requiere</v>
      </c>
      <c r="E77" s="58" t="str">
        <f t="shared" ref="E77:F77" si="71">IF(E76&lt;0,"Pedir "&amp;TEXT(-E76,"$#,#0")&amp;" ahora para SEM 39","No se requiere")</f>
        <v>No se requiere</v>
      </c>
      <c r="F77" s="58" t="str">
        <f t="shared" si="71"/>
        <v>No se requiere</v>
      </c>
      <c r="G77" s="58" t="str">
        <f>IF(G76&lt;0,"Pedir "&amp;TEXT(-G76,"$#,#0")&amp;" ahora para SEM 41","No se requiere")</f>
        <v>No se requiere</v>
      </c>
      <c r="H77" s="58" t="str">
        <f>IF(H76&lt;0,"Pedir "&amp;TEXT(-H76,"$#,#0")&amp;" ahora para SEM 42","No se requiere")</f>
        <v>No se requiere</v>
      </c>
      <c r="I77" s="58" t="str">
        <f>IF(I76&lt;0,"Pedir "&amp;TEXT(-I76,"$#,#0")&amp;" ahora para SEM 43","No se requiere")</f>
        <v>No se requiere</v>
      </c>
      <c r="J77" s="58" t="str">
        <f>IF(J76&lt;0,"Pedir "&amp;TEXT(-J76,"$#,#0")&amp;" ahora para SEM 44","No se requiere")</f>
        <v>No se requiere</v>
      </c>
      <c r="K77" s="58" t="str">
        <f>IF(K76&lt;0,"Pedir "&amp;TEXT(-K76,"$#,#0")&amp;" ahora para SEM 45","No se requiere")</f>
        <v>No se requiere</v>
      </c>
      <c r="L77" s="58" t="str">
        <f>IF(L76&lt;0,"Pedir "&amp;TEXT(-L76,"$#,#0")&amp;" ahora para SEM 46","No se requiere")</f>
        <v>No se requiere</v>
      </c>
      <c r="M77" s="58" t="str">
        <f>IF(M76&lt;0,"Pedir "&amp;TEXT(-M76,"$#,#0")&amp;" ahora para SEM 47","No se requiere")</f>
        <v>No se requiere</v>
      </c>
      <c r="N77" s="58" t="str">
        <f>IF(N76&lt;0,"Pedir "&amp;TEXT(-N76,"$#,#0")&amp;" ahora para SEM 48","No se requiere")</f>
        <v>No se requiere</v>
      </c>
      <c r="O77" s="58" t="str">
        <f>IF(O76&lt;0,"Pedir "&amp;TEXT(-O76,"$#,#0")&amp;" ahora para SEM 49","No se requiere")</f>
        <v>No se requiere</v>
      </c>
      <c r="P77" s="58" t="str">
        <f>IF(P76&lt;0,"Pedir "&amp;TEXT(-P76,"$#,#0")&amp;" ahora para SEM 50","No se requiere")</f>
        <v>No se requiere</v>
      </c>
      <c r="Q77" s="58" t="str">
        <f>IF(Q76&lt;0,"Pedir "&amp;TEXT(-Q76,"$#,#0")&amp;" ahora para SEM 51","No se requiere")</f>
        <v>No se requiere</v>
      </c>
      <c r="R77" s="58" t="str">
        <f t="shared" ref="R77" si="72">IF(R76&lt;0,"Pedir "&amp;TEXT(-R76,"$#,#0")&amp;" ahora para SEM 52","No se requiere")</f>
        <v>No se requiere</v>
      </c>
      <c r="S77" s="58" t="str">
        <f t="shared" ref="S77:AI77" si="73">IF(S76&lt;0,"Pedir "&amp;TEXT(-S76,"$#,#0")&amp;" ahora para SEM 52","No se requiere")</f>
        <v>No se requiere</v>
      </c>
      <c r="T77" s="58" t="str">
        <f t="shared" si="73"/>
        <v>No se requiere</v>
      </c>
      <c r="U77" s="58" t="str">
        <f t="shared" si="73"/>
        <v>No se requiere</v>
      </c>
      <c r="V77" s="58" t="str">
        <f t="shared" si="73"/>
        <v>No se requiere</v>
      </c>
      <c r="W77" s="58" t="str">
        <f t="shared" si="73"/>
        <v>No se requiere</v>
      </c>
      <c r="X77" s="58" t="str">
        <f t="shared" si="73"/>
        <v>No se requiere</v>
      </c>
      <c r="Y77" s="58" t="str">
        <f t="shared" si="73"/>
        <v>No se requiere</v>
      </c>
      <c r="Z77" s="58" t="str">
        <f t="shared" si="73"/>
        <v>No se requiere</v>
      </c>
      <c r="AA77" s="58" t="str">
        <f t="shared" si="73"/>
        <v>No se requiere</v>
      </c>
      <c r="AB77" s="58" t="str">
        <f t="shared" si="73"/>
        <v>No se requiere</v>
      </c>
      <c r="AC77" s="58" t="str">
        <f t="shared" si="73"/>
        <v>No se requiere</v>
      </c>
      <c r="AD77" s="58" t="str">
        <f t="shared" si="73"/>
        <v>No se requiere</v>
      </c>
      <c r="AE77" s="58" t="str">
        <f t="shared" si="73"/>
        <v>Pedir $5820,90 ahora para SEM 52</v>
      </c>
      <c r="AF77" s="58" t="str">
        <f t="shared" si="73"/>
        <v>Pedir $489,62 ahora para SEM 52</v>
      </c>
      <c r="AG77" s="58" t="str">
        <f t="shared" si="73"/>
        <v>No se requiere</v>
      </c>
      <c r="AH77" s="58" t="str">
        <f t="shared" si="73"/>
        <v>No se requiere</v>
      </c>
      <c r="AI77" s="58" t="str">
        <f t="shared" si="73"/>
        <v>No se requiere</v>
      </c>
      <c r="AJ77" s="49"/>
      <c r="AK77" s="49"/>
      <c r="AL77" s="49"/>
      <c r="AM77" s="49"/>
      <c r="AN77" s="49"/>
      <c r="AO77" s="49"/>
      <c r="AP77" s="49"/>
      <c r="AQ77" s="49"/>
    </row>
    <row r="78" spans="1:43" ht="14.25" customHeight="1" x14ac:dyDescent="0.3"/>
    <row r="79" spans="1:43" ht="14.25" customHeight="1" x14ac:dyDescent="0.3"/>
    <row r="80" spans="1:4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</sheetData>
  <phoneticPr fontId="33" type="noConversion"/>
  <conditionalFormatting sqref="D70:AI70">
    <cfRule type="expression" dxfId="3" priority="2">
      <formula>D70&lt;0</formula>
    </cfRule>
    <cfRule type="expression" dxfId="2" priority="3">
      <formula>AND(D70&gt;=0,D70&lt;D72)</formula>
    </cfRule>
    <cfRule type="expression" dxfId="1" priority="4">
      <formula>D70&gt;=D72</formula>
    </cfRule>
  </conditionalFormatting>
  <conditionalFormatting sqref="D77:AI77">
    <cfRule type="expression" dxfId="0" priority="1">
      <formula>LEFT(D77,4)="Pedi"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3F06-E912-45C1-9EF8-CCC14B233EB8}">
  <dimension ref="B2:N22"/>
  <sheetViews>
    <sheetView showGridLines="0" zoomScale="90" zoomScaleNormal="90" workbookViewId="0">
      <pane xSplit="5" ySplit="5" topLeftCell="F6" activePane="bottomRight" state="frozen"/>
      <selection pane="topRight" activeCell="F1" sqref="F1"/>
      <selection pane="bottomLeft" activeCell="A5" sqref="A5"/>
      <selection pane="bottomRight" sqref="A1:M23"/>
    </sheetView>
  </sheetViews>
  <sheetFormatPr baseColWidth="10" defaultRowHeight="14.4" x14ac:dyDescent="0.3"/>
  <cols>
    <col min="1" max="1" width="2.6640625" customWidth="1"/>
    <col min="2" max="2" width="58.77734375" customWidth="1"/>
    <col min="3" max="3" width="9.77734375" customWidth="1"/>
    <col min="4" max="4" width="13.109375" customWidth="1"/>
    <col min="5" max="5" width="13.21875" customWidth="1"/>
    <col min="6" max="13" width="12.6640625" customWidth="1"/>
    <col min="14" max="14" width="44.77734375" customWidth="1"/>
  </cols>
  <sheetData>
    <row r="2" spans="2:14" ht="17.399999999999999" x14ac:dyDescent="0.35">
      <c r="B2" s="105" t="s">
        <v>346</v>
      </c>
    </row>
    <row r="3" spans="2:14" ht="31.2" customHeight="1" x14ac:dyDescent="0.3">
      <c r="B3" s="148" t="s">
        <v>347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29"/>
    </row>
    <row r="4" spans="2:14" s="60" customFormat="1" x14ac:dyDescent="0.3">
      <c r="B4" s="120" t="s">
        <v>358</v>
      </c>
      <c r="C4" s="121" t="s">
        <v>352</v>
      </c>
      <c r="D4" s="121" t="s">
        <v>353</v>
      </c>
      <c r="F4" s="120">
        <v>1</v>
      </c>
      <c r="G4" s="120">
        <v>2</v>
      </c>
      <c r="H4" s="120">
        <v>3</v>
      </c>
      <c r="I4" s="120">
        <v>4</v>
      </c>
      <c r="J4" s="120">
        <v>5</v>
      </c>
      <c r="K4" s="120">
        <v>6</v>
      </c>
      <c r="L4" s="120">
        <v>7</v>
      </c>
      <c r="M4" s="120">
        <v>8</v>
      </c>
    </row>
    <row r="5" spans="2:14" s="104" customFormat="1" ht="21" customHeight="1" x14ac:dyDescent="0.3">
      <c r="B5" s="114" t="s">
        <v>348</v>
      </c>
      <c r="C5" s="114" t="s">
        <v>349</v>
      </c>
      <c r="D5" s="114" t="s">
        <v>350</v>
      </c>
      <c r="E5" s="114" t="s">
        <v>351</v>
      </c>
      <c r="F5" s="115">
        <v>46291</v>
      </c>
      <c r="G5" s="115">
        <v>46321</v>
      </c>
      <c r="H5" s="115">
        <v>46352</v>
      </c>
      <c r="I5" s="114" t="s">
        <v>354</v>
      </c>
      <c r="J5" s="114" t="s">
        <v>355</v>
      </c>
      <c r="K5" s="115">
        <v>46080</v>
      </c>
      <c r="L5" s="115">
        <v>46108</v>
      </c>
      <c r="M5" s="114" t="s">
        <v>356</v>
      </c>
      <c r="N5" s="114" t="s">
        <v>357</v>
      </c>
    </row>
    <row r="6" spans="2:14" ht="34.049999999999997" customHeight="1" x14ac:dyDescent="0.3">
      <c r="B6" s="111" t="s">
        <v>359</v>
      </c>
      <c r="C6" s="112">
        <v>1300</v>
      </c>
      <c r="D6" s="122">
        <f>'FLUJO SEMANAL (2)'!B36</f>
        <v>147459.03399999999</v>
      </c>
      <c r="E6" s="123">
        <f t="shared" ref="E6:E15" si="0">IF(C6=0,0,D6/C6)</f>
        <v>113.43002615384614</v>
      </c>
      <c r="F6" s="143" t="str">
        <f t="shared" ref="F6" si="1">TEXT(C6,"#.##0")&amp;" m²  ·  "&amp;TEXT(D6,"$#.##0")&amp;"  ·  "&amp;TEXT(E6,"$#.##0,00")&amp;"/m²"</f>
        <v>1.300 m²  ·  $147.459  ·  $113,43/m²</v>
      </c>
      <c r="G6" s="143"/>
      <c r="H6" s="143"/>
      <c r="I6" s="107"/>
      <c r="J6" s="107"/>
      <c r="K6" s="107"/>
      <c r="L6" s="107"/>
      <c r="M6" s="107"/>
      <c r="N6" s="108" t="s">
        <v>360</v>
      </c>
    </row>
    <row r="7" spans="2:14" ht="34.049999999999997" customHeight="1" x14ac:dyDescent="0.3">
      <c r="B7" s="111" t="s">
        <v>361</v>
      </c>
      <c r="C7" s="112">
        <v>150</v>
      </c>
      <c r="D7" s="122">
        <f>'FLUJO SEMANAL (2)'!B46</f>
        <v>15314.42</v>
      </c>
      <c r="E7" s="123">
        <f t="shared" si="0"/>
        <v>102.09613333333333</v>
      </c>
      <c r="F7" s="144" t="str">
        <f t="shared" ref="F7" si="2">TEXT(C7,"#.##0")&amp;" m²  ·  "&amp;TEXT(D7,"$#.##0")&amp;"  ·  "&amp;TEXT(E7,"$#.##0,00")&amp;"/m²"</f>
        <v>150 m²  ·  $15.314  ·  $102,10/m²</v>
      </c>
      <c r="G7" s="144"/>
      <c r="H7" s="144"/>
      <c r="I7" s="107"/>
      <c r="J7" s="107"/>
      <c r="K7" s="107"/>
      <c r="L7" s="107"/>
      <c r="M7" s="107"/>
      <c r="N7" s="108"/>
    </row>
    <row r="8" spans="2:14" ht="34.049999999999997" customHeight="1" x14ac:dyDescent="0.3">
      <c r="B8" s="111" t="s">
        <v>362</v>
      </c>
      <c r="C8" s="112">
        <v>680</v>
      </c>
      <c r="D8" s="122">
        <f>'FLUJO SEMANAL (2)'!B53</f>
        <v>60445.42</v>
      </c>
      <c r="E8" s="123">
        <f t="shared" si="0"/>
        <v>88.890323529411759</v>
      </c>
      <c r="F8" s="145" t="str">
        <f t="shared" ref="F8" si="3">TEXT(C8,"#.##0")&amp;" m²  ·  "&amp;TEXT(D8,"$#.##0")&amp;"  ·  "&amp;TEXT(E8,"$#.##0,00")&amp;"/m²"</f>
        <v>680 m²  ·  $60.445  ·  $88,89/m²</v>
      </c>
      <c r="G8" s="145"/>
      <c r="H8" s="145"/>
      <c r="I8" s="107"/>
      <c r="J8" s="107"/>
      <c r="K8" s="107"/>
      <c r="L8" s="107"/>
      <c r="M8" s="107"/>
      <c r="N8" s="108" t="s">
        <v>363</v>
      </c>
    </row>
    <row r="9" spans="2:14" ht="34.049999999999997" customHeight="1" x14ac:dyDescent="0.3">
      <c r="B9" s="111" t="s">
        <v>364</v>
      </c>
      <c r="C9" s="112">
        <v>200</v>
      </c>
      <c r="D9" s="122">
        <f>'FLUJO SEMANAL (2)'!B58</f>
        <v>14504.99</v>
      </c>
      <c r="E9" s="123">
        <f t="shared" si="0"/>
        <v>72.524950000000004</v>
      </c>
      <c r="F9" s="146" t="str">
        <f t="shared" ref="F9" si="4">TEXT(C9,"#.##0")&amp;" m²  ·  "&amp;TEXT(D9,"$#.##0")&amp;"  ·  "&amp;TEXT(E9,"$#.##0,00")&amp;"/m²"</f>
        <v>200 m²  ·  $14.505  ·  $72,52/m²</v>
      </c>
      <c r="G9" s="146"/>
      <c r="H9" s="146"/>
      <c r="I9" s="146"/>
      <c r="J9" s="146"/>
      <c r="K9" s="107"/>
      <c r="L9" s="107"/>
      <c r="M9" s="107"/>
      <c r="N9" s="108"/>
    </row>
    <row r="10" spans="2:14" ht="34.049999999999997" customHeight="1" x14ac:dyDescent="0.3">
      <c r="B10" s="111" t="s">
        <v>365</v>
      </c>
      <c r="C10" s="112">
        <v>900</v>
      </c>
      <c r="D10" s="122">
        <f>'FLUJO SEMANAL (2)'!B62</f>
        <v>36000</v>
      </c>
      <c r="E10" s="123">
        <f t="shared" si="0"/>
        <v>40</v>
      </c>
      <c r="F10" s="107"/>
      <c r="G10" s="107"/>
      <c r="H10" s="147" t="str">
        <f t="shared" ref="H10" si="5">TEXT(C10,"#.##0")&amp;" m²  ·  "&amp;TEXT(D10,"$#.##0")&amp;"  ·  "&amp;TEXT(E10,"$#.##0,00")&amp;"/m²"</f>
        <v>900 m²  ·  $36.000  ·  $40,00/m²</v>
      </c>
      <c r="I10" s="147"/>
      <c r="J10" s="107"/>
      <c r="K10" s="107"/>
      <c r="L10" s="107"/>
      <c r="M10" s="107"/>
      <c r="N10" s="108"/>
    </row>
    <row r="11" spans="2:14" ht="34.049999999999997" customHeight="1" x14ac:dyDescent="0.3">
      <c r="B11" s="111" t="s">
        <v>366</v>
      </c>
      <c r="C11" s="112">
        <v>750</v>
      </c>
      <c r="D11" s="122">
        <f>'FLUJO SEMANAL (2)'!B64</f>
        <v>85072.519615384605</v>
      </c>
      <c r="E11" s="123">
        <f t="shared" si="0"/>
        <v>113.43002615384614</v>
      </c>
      <c r="F11" s="107"/>
      <c r="G11" s="107"/>
      <c r="H11" s="139" t="str">
        <f t="shared" ref="H11" si="6">TEXT(C11,"#.##0")&amp;" m²  ·  "&amp;TEXT(D11,"$#.##0")&amp;"  ·  "&amp;TEXT(E11,"$#.##0,00")&amp;"/m²"</f>
        <v>750 m²  ·  $85.073  ·  $113,43/m²</v>
      </c>
      <c r="I11" s="139"/>
      <c r="J11" s="139"/>
      <c r="K11" s="139"/>
      <c r="L11" s="107"/>
      <c r="M11" s="107"/>
      <c r="N11" s="108"/>
    </row>
    <row r="12" spans="2:14" ht="34.049999999999997" customHeight="1" x14ac:dyDescent="0.3">
      <c r="B12" s="111" t="s">
        <v>367</v>
      </c>
      <c r="C12" s="112">
        <v>600</v>
      </c>
      <c r="D12" s="122">
        <f>'FLUJO SEMANAL (2)'!B65</f>
        <v>68058.015692307687</v>
      </c>
      <c r="E12" s="123">
        <f t="shared" si="0"/>
        <v>113.43002615384614</v>
      </c>
      <c r="F12" s="107"/>
      <c r="G12" s="107"/>
      <c r="H12" s="107"/>
      <c r="I12" s="107"/>
      <c r="J12" s="107"/>
      <c r="K12" s="140" t="str">
        <f t="shared" ref="K12" si="7">TEXT(C12,"#.##0")&amp;" m²  ·  "&amp;TEXT(D12,"$#.##0")&amp;"  ·  "&amp;TEXT(E12,"$#.##0,00")&amp;"/m²"</f>
        <v>600 m²  ·  $68.058  ·  $113,43/m²</v>
      </c>
      <c r="L12" s="140"/>
      <c r="M12" s="140"/>
      <c r="N12" s="108"/>
    </row>
    <row r="13" spans="2:14" ht="34.049999999999997" customHeight="1" x14ac:dyDescent="0.3">
      <c r="B13" s="111" t="s">
        <v>368</v>
      </c>
      <c r="C13" s="112">
        <v>432</v>
      </c>
      <c r="D13" s="122">
        <f>'FLUJO SEMANAL (2)'!B63</f>
        <v>49001.771298461535</v>
      </c>
      <c r="E13" s="123">
        <f t="shared" si="0"/>
        <v>113.43002615384614</v>
      </c>
      <c r="F13" s="107"/>
      <c r="G13" s="107"/>
      <c r="H13" s="107"/>
      <c r="I13" s="107"/>
      <c r="J13" s="107"/>
      <c r="K13" s="141" t="str">
        <f t="shared" ref="K13" si="8">TEXT(C13,"#.##0")&amp;" m²  ·  "&amp;TEXT(D13,"$#.##0")&amp;"  ·  "&amp;TEXT(E13,"$#.##0,00")&amp;"/m²"</f>
        <v>432 m²  ·  $49.002  ·  $113,43/m²</v>
      </c>
      <c r="L13" s="141"/>
      <c r="M13" s="141"/>
      <c r="N13" s="108"/>
    </row>
    <row r="14" spans="2:14" s="119" customFormat="1" ht="34.049999999999997" customHeight="1" x14ac:dyDescent="0.3">
      <c r="B14" s="116" t="s">
        <v>369</v>
      </c>
      <c r="C14" s="117">
        <v>6000</v>
      </c>
      <c r="D14" s="124">
        <f>'FLUJO SEMANAL (2)'!B61</f>
        <v>120657</v>
      </c>
      <c r="E14" s="123">
        <f t="shared" si="0"/>
        <v>20.109500000000001</v>
      </c>
      <c r="F14" s="142" t="str">
        <f t="shared" ref="F14" si="9">"SIN PROGRAMAR EN EL HORIZONTE — "&amp;TEXT(D14,"$#.##0")&amp;" ("&amp;TEXT(E14,"$#.##0,00")&amp;"/m²)"</f>
        <v>SIN PROGRAMAR EN EL HORIZONTE — $120.657 ($20,11/m²)</v>
      </c>
      <c r="G14" s="142"/>
      <c r="H14" s="142"/>
      <c r="I14" s="142"/>
      <c r="J14" s="142"/>
      <c r="K14" s="142"/>
      <c r="L14" s="142"/>
      <c r="M14" s="142"/>
      <c r="N14" s="118" t="s">
        <v>370</v>
      </c>
    </row>
    <row r="15" spans="2:14" x14ac:dyDescent="0.3">
      <c r="B15" s="109" t="s">
        <v>371</v>
      </c>
      <c r="C15" s="106">
        <f>SUM(C6:C14)</f>
        <v>11012</v>
      </c>
      <c r="D15" s="125">
        <f>SUM(D6:D14)</f>
        <v>596513.17060615378</v>
      </c>
      <c r="E15" s="126">
        <f t="shared" si="0"/>
        <v>54.169376190170155</v>
      </c>
      <c r="F15" s="107"/>
      <c r="G15" s="107"/>
      <c r="H15" s="107"/>
      <c r="I15" s="107"/>
      <c r="J15" s="107"/>
      <c r="K15" s="107"/>
      <c r="L15" s="107"/>
      <c r="M15" s="107"/>
      <c r="N15" s="107"/>
    </row>
    <row r="16" spans="2:14" x14ac:dyDescent="0.3">
      <c r="B16" s="110" t="s">
        <v>372</v>
      </c>
      <c r="C16" s="107"/>
      <c r="D16" s="127">
        <f>'FLUJO SEMANAL (2)'!AJ66</f>
        <v>435312.94982747256</v>
      </c>
      <c r="E16" s="126">
        <f>'FLUJO SEMANAL (2)'!AK66</f>
        <v>161200.22077868128</v>
      </c>
      <c r="F16" s="107"/>
      <c r="G16" s="107"/>
      <c r="H16" s="107"/>
      <c r="I16" s="107"/>
      <c r="J16" s="107"/>
      <c r="K16" s="107"/>
      <c r="L16" s="107"/>
      <c r="M16" s="107"/>
      <c r="N16" s="107"/>
    </row>
    <row r="17" spans="2:14" x14ac:dyDescent="0.3">
      <c r="B17" s="110" t="s">
        <v>373</v>
      </c>
      <c r="C17" s="107"/>
      <c r="D17" s="127">
        <f>SUM('FLUJO SEMANAL (2)'!C23:C35)+SUM('FLUJO SEMANAL (2)'!C37:C45)+SUM('FLUJO SEMANAL (2)'!C47:C52)+SUM('FLUJO SEMANAL (2)'!C54:C57)</f>
        <v>111272.21</v>
      </c>
      <c r="E17" s="127"/>
      <c r="F17" s="107"/>
      <c r="G17" s="107"/>
      <c r="H17" s="107"/>
      <c r="I17" s="107"/>
      <c r="J17" s="107"/>
      <c r="K17" s="107"/>
      <c r="L17" s="107"/>
      <c r="M17" s="107"/>
      <c r="N17" s="107"/>
    </row>
    <row r="18" spans="2:14" x14ac:dyDescent="0.3"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</row>
    <row r="19" spans="2:14" x14ac:dyDescent="0.3">
      <c r="B19" s="109" t="s">
        <v>374</v>
      </c>
      <c r="C19" s="107"/>
      <c r="D19" s="107"/>
      <c r="E19" s="107"/>
      <c r="F19" s="128">
        <f>SUM('FLUJO SEMANAL (2)'!D66:F66)</f>
        <v>35664.600000000006</v>
      </c>
      <c r="G19" s="128">
        <f>SUM('FLUJO SEMANAL (2)'!G66:J66)</f>
        <v>32554.567714285709</v>
      </c>
      <c r="H19" s="128">
        <f>SUM('FLUJO SEMANAL (2)'!K66:O66)</f>
        <v>57027.943649725275</v>
      </c>
      <c r="I19" s="128">
        <f>SUM('FLUJO SEMANAL (2)'!P66:S66)</f>
        <v>43357.50653846153</v>
      </c>
      <c r="J19" s="128">
        <f>SUM('FLUJO SEMANAL (2)'!T66:W66)</f>
        <v>34451.356538461529</v>
      </c>
      <c r="K19" s="128">
        <f>SUM('FLUJO SEMANAL (2)'!X66:AA66)</f>
        <v>44606.357784999993</v>
      </c>
      <c r="L19" s="128">
        <f>SUM('FLUJO SEMANAL (2)'!AB66:AE66)</f>
        <v>47186.890879999992</v>
      </c>
      <c r="M19" s="128">
        <f>SUM('FLUJO SEMANAL (2)'!AF66:AI66)</f>
        <v>28811.226643076916</v>
      </c>
      <c r="N19" s="107"/>
    </row>
    <row r="20" spans="2:14" x14ac:dyDescent="0.3">
      <c r="B20" s="109" t="s">
        <v>375</v>
      </c>
      <c r="C20" s="107"/>
      <c r="D20" s="107"/>
      <c r="E20" s="107"/>
      <c r="F20" s="128">
        <f>'FLUJO SEMANAL (2)'!F70</f>
        <v>43995.369999999995</v>
      </c>
      <c r="G20" s="128">
        <f>'FLUJO SEMANAL (2)'!J70</f>
        <v>64429.88228571428</v>
      </c>
      <c r="H20" s="128">
        <f>'FLUJO SEMANAL (2)'!O70</f>
        <v>33973.460635989017</v>
      </c>
      <c r="I20" s="128">
        <f>'FLUJO SEMANAL (2)'!S70</f>
        <v>43650.624097527492</v>
      </c>
      <c r="J20" s="128">
        <f>'FLUJO SEMANAL (2)'!W70</f>
        <v>36343.937559065962</v>
      </c>
      <c r="K20" s="128">
        <f>'FLUJO SEMANAL (2)'!AA70</f>
        <v>48882.24977406596</v>
      </c>
      <c r="L20" s="128">
        <f>'FLUJO SEMANAL (2)'!AE70</f>
        <v>28840.028894065967</v>
      </c>
      <c r="M20" s="128">
        <f>'FLUJO SEMANAL (2)'!AI70</f>
        <v>27173.472250989045</v>
      </c>
      <c r="N20" s="107"/>
    </row>
    <row r="21" spans="2:14" x14ac:dyDescent="0.3">
      <c r="B21" s="109" t="s">
        <v>376</v>
      </c>
      <c r="C21" s="107"/>
      <c r="D21" s="107"/>
      <c r="E21" s="107"/>
      <c r="F21" s="128">
        <f>SUM('FLUJO SEMANAL (2)'!D9:F9)</f>
        <v>0</v>
      </c>
      <c r="G21" s="128">
        <f>SUM('FLUJO SEMANAL (2)'!G9:J9)</f>
        <v>30000</v>
      </c>
      <c r="H21" s="128">
        <f>SUM('FLUJO SEMANAL (2)'!K9:O9)</f>
        <v>0</v>
      </c>
      <c r="I21" s="128">
        <f>SUM('FLUJO SEMANAL (2)'!P9:S9)</f>
        <v>30000</v>
      </c>
      <c r="J21" s="128">
        <f>SUM('FLUJO SEMANAL (2)'!T9:W9)</f>
        <v>0</v>
      </c>
      <c r="K21" s="128">
        <f>SUM('FLUJO SEMANAL (2)'!X9:AA9)</f>
        <v>30000</v>
      </c>
      <c r="L21" s="128">
        <f>SUM('FLUJO SEMANAL (2)'!AB9:AE9)</f>
        <v>0</v>
      </c>
      <c r="M21" s="128">
        <f>SUM('FLUJO SEMANAL (2)'!AF9:AI9)</f>
        <v>0</v>
      </c>
      <c r="N21" s="107"/>
    </row>
    <row r="22" spans="2:14" x14ac:dyDescent="0.3">
      <c r="B22" s="109" t="s">
        <v>377</v>
      </c>
      <c r="C22" s="107"/>
      <c r="D22" s="107"/>
      <c r="E22" s="107"/>
      <c r="F22" s="128">
        <f>SUM('FLUJO SEMANAL (2)'!D8:F8)+SUM('FLUJO SEMANAL (2)'!D10:F10)</f>
        <v>62477.599999999999</v>
      </c>
      <c r="G22" s="128">
        <f>SUM('FLUJO SEMANAL (2)'!G8:J8)+SUM('FLUJO SEMANAL (2)'!G10:J10)</f>
        <v>26459.260000000002</v>
      </c>
      <c r="H22" s="128">
        <f>SUM('FLUJO SEMANAL (2)'!K8:O8)+SUM('FLUJO SEMANAL (2)'!K10:O10)</f>
        <v>31751.112000000001</v>
      </c>
      <c r="I22" s="128">
        <f>SUM('FLUJO SEMANAL (2)'!P8:S8)+SUM('FLUJO SEMANAL (2)'!P10:S10)</f>
        <v>26459.26</v>
      </c>
      <c r="J22" s="128">
        <f>SUM('FLUJO SEMANAL (2)'!T8:W8)+SUM('FLUJO SEMANAL (2)'!T10:W10)</f>
        <v>30569.26</v>
      </c>
      <c r="K22" s="128">
        <f>SUM('FLUJO SEMANAL (2)'!X8:AA8)+SUM('FLUJO SEMANAL (2)'!X10:AA10)</f>
        <v>30569.26</v>
      </c>
      <c r="L22" s="128">
        <f>SUM('FLUJO SEMANAL (2)'!AB8:AE8)+SUM('FLUJO SEMANAL (2)'!AB10:AE10)</f>
        <v>30569.26</v>
      </c>
      <c r="M22" s="128">
        <f>SUM('FLUJO SEMANAL (2)'!AF8:AI8)+SUM('FLUJO SEMANAL (2)'!AF10:AI10)</f>
        <v>30569.26</v>
      </c>
      <c r="N22" s="107"/>
    </row>
  </sheetData>
  <mergeCells count="10">
    <mergeCell ref="B3:M3"/>
    <mergeCell ref="H11:K11"/>
    <mergeCell ref="K12:M12"/>
    <mergeCell ref="K13:M13"/>
    <mergeCell ref="F14:M14"/>
    <mergeCell ref="F6:H6"/>
    <mergeCell ref="F7:H7"/>
    <mergeCell ref="F8:H8"/>
    <mergeCell ref="F9:J9"/>
    <mergeCell ref="H10:I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C780-69C5-4FFF-A194-9BFAB9C9D5D8}">
  <sheetPr>
    <tabColor theme="8" tint="0.39997558519241921"/>
  </sheetPr>
  <dimension ref="B3:AD6"/>
  <sheetViews>
    <sheetView showGridLines="0" workbookViewId="0">
      <selection activeCell="N21" sqref="N21"/>
    </sheetView>
  </sheetViews>
  <sheetFormatPr baseColWidth="10" defaultRowHeight="14.4" x14ac:dyDescent="0.3"/>
  <cols>
    <col min="2" max="2" width="25.88671875" bestFit="1" customWidth="1"/>
    <col min="3" max="5" width="14.33203125" bestFit="1" customWidth="1"/>
    <col min="6" max="6" width="14.109375" bestFit="1" customWidth="1"/>
    <col min="7" max="9" width="13.88671875" bestFit="1" customWidth="1"/>
    <col min="10" max="10" width="14.44140625" bestFit="1" customWidth="1"/>
    <col min="11" max="12" width="15" bestFit="1" customWidth="1"/>
  </cols>
  <sheetData>
    <row r="3" spans="2:30" x14ac:dyDescent="0.3">
      <c r="B3" s="76" t="str">
        <f>+'FLUJO SEMANAL (2)'!A4</f>
        <v>CONCEPTO</v>
      </c>
      <c r="C3" s="78" t="str">
        <f>+'FLUJO SEMANAL (2)'!H5</f>
        <v>oct</v>
      </c>
      <c r="D3" s="78" t="str">
        <f>+'FLUJO SEMANAL (2)'!I5</f>
        <v>oct</v>
      </c>
      <c r="E3" s="78" t="str">
        <f>+'FLUJO SEMANAL (2)'!J5</f>
        <v>oct</v>
      </c>
      <c r="F3" s="78" t="str">
        <f>+'FLUJO SEMANAL (2)'!K5</f>
        <v>nov</v>
      </c>
      <c r="G3" s="78" t="str">
        <f>+'FLUJO SEMANAL (2)'!L5</f>
        <v>nov</v>
      </c>
      <c r="H3" s="78" t="str">
        <f>+'FLUJO SEMANAL (2)'!M5</f>
        <v>nov</v>
      </c>
      <c r="I3" s="78" t="str">
        <f>+'FLUJO SEMANAL (2)'!N5</f>
        <v>nov</v>
      </c>
      <c r="J3" s="78" t="str">
        <f>+'FLUJO SEMANAL (2)'!O5</f>
        <v>nov</v>
      </c>
      <c r="K3" s="78" t="str">
        <f>+'FLUJO SEMANAL (2)'!P5</f>
        <v>dic</v>
      </c>
      <c r="L3" s="78" t="str">
        <f>+'FLUJO SEMANAL (2)'!Q5</f>
        <v>dic</v>
      </c>
      <c r="M3" s="78" t="str">
        <f>+'FLUJO SEMANAL (2)'!R5</f>
        <v>dic</v>
      </c>
      <c r="N3" s="78" t="str">
        <f>+'FLUJO SEMANAL (2)'!S5</f>
        <v>dic</v>
      </c>
      <c r="O3" s="78" t="str">
        <f>+'FLUJO SEMANAL (2)'!T5</f>
        <v>ene</v>
      </c>
      <c r="P3" s="78" t="str">
        <f>+'FLUJO SEMANAL (2)'!U5</f>
        <v>ene</v>
      </c>
      <c r="Q3" s="78" t="str">
        <f>+'FLUJO SEMANAL (2)'!V5</f>
        <v>ene</v>
      </c>
      <c r="R3" s="78" t="str">
        <f>+'FLUJO SEMANAL (2)'!W5</f>
        <v>ene</v>
      </c>
      <c r="S3" s="78" t="str">
        <f>+'FLUJO SEMANAL (2)'!X5</f>
        <v>feb</v>
      </c>
      <c r="T3" s="78" t="str">
        <f>+'FLUJO SEMANAL (2)'!Y5</f>
        <v>feb</v>
      </c>
      <c r="U3" s="78" t="str">
        <f>+'FLUJO SEMANAL (2)'!Z5</f>
        <v>feb</v>
      </c>
      <c r="V3" s="78" t="str">
        <f>+'FLUJO SEMANAL (2)'!AA5</f>
        <v>feb</v>
      </c>
      <c r="W3" s="78" t="str">
        <f>+'FLUJO SEMANAL (2)'!AB5</f>
        <v>mar</v>
      </c>
      <c r="X3" s="78" t="str">
        <f>+'FLUJO SEMANAL (2)'!AC5</f>
        <v>mar</v>
      </c>
      <c r="Y3" s="78" t="str">
        <f>+'FLUJO SEMANAL (2)'!AD5</f>
        <v>mar</v>
      </c>
      <c r="Z3" s="78" t="str">
        <f>+'FLUJO SEMANAL (2)'!AE5</f>
        <v>mar</v>
      </c>
      <c r="AA3" s="78" t="str">
        <f>+'FLUJO SEMANAL (2)'!AF5</f>
        <v>abr</v>
      </c>
      <c r="AB3" s="78" t="str">
        <f>+'FLUJO SEMANAL (2)'!AG5</f>
        <v>abr</v>
      </c>
      <c r="AC3" s="78" t="str">
        <f>+'FLUJO SEMANAL (2)'!AH5</f>
        <v>abr</v>
      </c>
      <c r="AD3" s="78" t="str">
        <f>+'FLUJO SEMANAL (2)'!AI5</f>
        <v>abr</v>
      </c>
    </row>
    <row r="4" spans="2:30" x14ac:dyDescent="0.3">
      <c r="B4" s="76" t="str">
        <f>+'FLUJO SEMANAL (2)'!A11</f>
        <v>TOTAL INGRESOS</v>
      </c>
      <c r="C4" s="62">
        <f>+'FLUJO SEMANAL (2)'!H11</f>
        <v>32645.925999999999</v>
      </c>
      <c r="D4" s="62">
        <f>+'FLUJO SEMANAL (2)'!I11</f>
        <v>7937.7779999999993</v>
      </c>
      <c r="E4" s="62">
        <f>+'FLUJO SEMANAL (2)'!J11</f>
        <v>10583.704</v>
      </c>
      <c r="F4" s="62">
        <f>+'FLUJO SEMANAL (2)'!K11</f>
        <v>5291.8519999999999</v>
      </c>
      <c r="G4" s="62">
        <f>+'FLUJO SEMANAL (2)'!L11</f>
        <v>2645.9259999999999</v>
      </c>
      <c r="H4" s="62">
        <f>+'FLUJO SEMANAL (2)'!M11</f>
        <v>7937.7779999999993</v>
      </c>
      <c r="I4" s="62">
        <f>+'FLUJO SEMANAL (2)'!N11</f>
        <v>10583.704</v>
      </c>
      <c r="J4" s="62">
        <f>+'FLUJO SEMANAL (2)'!O11</f>
        <v>5291.8519999999999</v>
      </c>
      <c r="K4" s="62">
        <f>+'FLUJO SEMANAL (2)'!P11</f>
        <v>32645.925999999999</v>
      </c>
      <c r="L4" s="62">
        <f>+'FLUJO SEMANAL (2)'!Q11</f>
        <v>7937.7779999999993</v>
      </c>
      <c r="M4" s="62">
        <f>+'FLUJO SEMANAL (2)'!R11</f>
        <v>10583.704</v>
      </c>
      <c r="N4" s="62">
        <f>+'FLUJO SEMANAL (2)'!S11</f>
        <v>5291.8519999999999</v>
      </c>
      <c r="O4" s="62">
        <f>+'FLUJO SEMANAL (2)'!T11</f>
        <v>2645.9259999999999</v>
      </c>
      <c r="P4" s="62">
        <f>+'FLUJO SEMANAL (2)'!U11</f>
        <v>12047.777999999998</v>
      </c>
      <c r="Q4" s="62">
        <f>+'FLUJO SEMANAL (2)'!V11</f>
        <v>10583.704</v>
      </c>
      <c r="R4" s="62">
        <f>+'FLUJO SEMANAL (2)'!W11</f>
        <v>5291.8519999999999</v>
      </c>
      <c r="S4" s="62">
        <f>+'FLUJO SEMANAL (2)'!X11</f>
        <v>32645.925999999999</v>
      </c>
      <c r="T4" s="62">
        <f>+'FLUJO SEMANAL (2)'!Y11</f>
        <v>7937.7779999999993</v>
      </c>
      <c r="U4" s="62">
        <f>+'FLUJO SEMANAL (2)'!Z11</f>
        <v>14693.704</v>
      </c>
      <c r="V4" s="62">
        <f>+'FLUJO SEMANAL (2)'!AA11</f>
        <v>5291.8519999999999</v>
      </c>
      <c r="W4" s="62">
        <f>+'FLUJO SEMANAL (2)'!AB11</f>
        <v>2645.9259999999999</v>
      </c>
      <c r="X4" s="62">
        <f>+'FLUJO SEMANAL (2)'!AC11</f>
        <v>7937.7779999999993</v>
      </c>
      <c r="Y4" s="62">
        <f>+'FLUJO SEMANAL (2)'!AD11</f>
        <v>14693.704</v>
      </c>
      <c r="Z4" s="62">
        <f>+'FLUJO SEMANAL (2)'!AE11</f>
        <v>5291.8519999999999</v>
      </c>
      <c r="AA4" s="62">
        <f>+'FLUJO SEMANAL (2)'!AF11</f>
        <v>2645.9259999999999</v>
      </c>
      <c r="AB4" s="62">
        <f>+'FLUJO SEMANAL (2)'!AG11</f>
        <v>12047.777999999998</v>
      </c>
      <c r="AC4" s="62">
        <f>+'FLUJO SEMANAL (2)'!AH11</f>
        <v>10583.704</v>
      </c>
      <c r="AD4" s="62">
        <f>+'FLUJO SEMANAL (2)'!AI11</f>
        <v>5291.8519999999999</v>
      </c>
    </row>
    <row r="5" spans="2:30" x14ac:dyDescent="0.3">
      <c r="B5" s="76" t="str">
        <f>+'FLUJO SEMANAL (2)'!A68</f>
        <v>TOTAL EGRESOS (fijos + obra)</v>
      </c>
      <c r="C5" s="62">
        <f>+'FLUJO SEMANAL (2)'!H68</f>
        <v>11289.223428571429</v>
      </c>
      <c r="D5" s="62">
        <f>+'FLUJO SEMANAL (2)'!I68</f>
        <v>9058.3514285714282</v>
      </c>
      <c r="E5" s="62">
        <f>+'FLUJO SEMANAL (2)'!J68</f>
        <v>3126.4614285714288</v>
      </c>
      <c r="F5" s="62">
        <f>+'FLUJO SEMANAL (2)'!K68</f>
        <v>12041.555428571428</v>
      </c>
      <c r="G5" s="62">
        <f>+'FLUJO SEMANAL (2)'!L68</f>
        <v>14642.536634615382</v>
      </c>
      <c r="H5" s="62">
        <f>+'FLUJO SEMANAL (2)'!M68</f>
        <v>14134.376634615382</v>
      </c>
      <c r="I5" s="62">
        <f>+'FLUJO SEMANAL (2)'!N68</f>
        <v>13089.376634615382</v>
      </c>
      <c r="J5" s="62">
        <f>+'FLUJO SEMANAL (2)'!O68</f>
        <v>8299.6883173076912</v>
      </c>
      <c r="K5" s="62">
        <f>+'FLUJO SEMANAL (2)'!P68</f>
        <v>13713.966634615383</v>
      </c>
      <c r="L5" s="62">
        <f>+'FLUJO SEMANAL (2)'!Q68</f>
        <v>14134.376634615382</v>
      </c>
      <c r="M5" s="62">
        <f>+'FLUJO SEMANAL (2)'!R68</f>
        <v>10089.376634615382</v>
      </c>
      <c r="N5" s="62">
        <f>+'FLUJO SEMANAL (2)'!S68</f>
        <v>8844.3766346153825</v>
      </c>
      <c r="O5" s="62">
        <f>+'FLUJO SEMANAL (2)'!T68</f>
        <v>11508.966634615383</v>
      </c>
      <c r="P5" s="62">
        <f>+'FLUJO SEMANAL (2)'!U68</f>
        <v>10433.226634615383</v>
      </c>
      <c r="Q5" s="62">
        <f>+'FLUJO SEMANAL (2)'!V68</f>
        <v>7089.3766346153834</v>
      </c>
      <c r="R5" s="62">
        <f>+'FLUJO SEMANAL (2)'!W68</f>
        <v>8844.3766346153825</v>
      </c>
      <c r="S5" s="62">
        <f>+'FLUJO SEMANAL (2)'!X68</f>
        <v>9840.7796249999992</v>
      </c>
      <c r="T5" s="62">
        <f>+'FLUJO SEMANAL (2)'!Y68</f>
        <v>12841.722719999998</v>
      </c>
      <c r="U5" s="62">
        <f>+'FLUJO SEMANAL (2)'!Z68</f>
        <v>11796.722719999998</v>
      </c>
      <c r="V5" s="62">
        <f>+'FLUJO SEMANAL (2)'!AA68</f>
        <v>13551.722719999998</v>
      </c>
      <c r="W5" s="62">
        <f>+'FLUJO SEMANAL (2)'!AB68</f>
        <v>12421.312719999998</v>
      </c>
      <c r="X5" s="62">
        <f>+'FLUJO SEMANAL (2)'!AC68</f>
        <v>12841.722719999998</v>
      </c>
      <c r="Y5" s="62">
        <f>+'FLUJO SEMANAL (2)'!AD68</f>
        <v>11796.722719999998</v>
      </c>
      <c r="Z5" s="62">
        <f>+'FLUJO SEMANAL (2)'!AE68</f>
        <v>13551.722719999998</v>
      </c>
      <c r="AA5" s="62">
        <f>+'FLUJO SEMANAL (2)'!AF68</f>
        <v>12421.312719999998</v>
      </c>
      <c r="AB5" s="62">
        <f>+'FLUJO SEMANAL (2)'!AG68</f>
        <v>6716.5013076923069</v>
      </c>
      <c r="AC5" s="62">
        <f>+'FLUJO SEMANAL (2)'!AH68</f>
        <v>5671.5013076923069</v>
      </c>
      <c r="AD5" s="62">
        <f>+'FLUJO SEMANAL (2)'!AI68</f>
        <v>7426.5013076923069</v>
      </c>
    </row>
    <row r="6" spans="2:30" x14ac:dyDescent="0.3">
      <c r="B6" s="76" t="str">
        <f>+'FLUJO SEMANAL (2)'!A70</f>
        <v>SALDO FINAL DE CAJA</v>
      </c>
      <c r="C6" s="62">
        <f>+'FLUJO SEMANAL (2)'!H70</f>
        <v>58093.213142857137</v>
      </c>
      <c r="D6" s="62">
        <f>+'FLUJO SEMANAL (2)'!I70</f>
        <v>56972.639714285709</v>
      </c>
      <c r="E6" s="62">
        <f>+'FLUJO SEMANAL (2)'!J70</f>
        <v>64429.88228571428</v>
      </c>
      <c r="F6" s="62">
        <f>+'FLUJO SEMANAL (2)'!K70</f>
        <v>57680.178857142855</v>
      </c>
      <c r="G6" s="62">
        <f>+'FLUJO SEMANAL (2)'!L70</f>
        <v>45683.568222527472</v>
      </c>
      <c r="H6" s="62">
        <f>+'FLUJO SEMANAL (2)'!M70</f>
        <v>39486.969587912092</v>
      </c>
      <c r="I6" s="62">
        <f>+'FLUJO SEMANAL (2)'!N70</f>
        <v>36981.296953296711</v>
      </c>
      <c r="J6" s="62">
        <f>+'FLUJO SEMANAL (2)'!O70</f>
        <v>33973.460635989017</v>
      </c>
      <c r="K6" s="62">
        <f>+'FLUJO SEMANAL (2)'!P70</f>
        <v>52905.420001373634</v>
      </c>
      <c r="L6" s="62">
        <f>+'FLUJO SEMANAL (2)'!Q70</f>
        <v>46708.821366758253</v>
      </c>
      <c r="M6" s="62">
        <f>+'FLUJO SEMANAL (2)'!R70</f>
        <v>47203.148732142872</v>
      </c>
      <c r="N6" s="62">
        <f>+'FLUJO SEMANAL (2)'!S70</f>
        <v>43650.624097527492</v>
      </c>
      <c r="O6" s="62">
        <f>+'FLUJO SEMANAL (2)'!T70</f>
        <v>34787.583462912109</v>
      </c>
      <c r="P6" s="62">
        <f>+'FLUJO SEMANAL (2)'!U70</f>
        <v>36402.134828296723</v>
      </c>
      <c r="Q6" s="62">
        <f>+'FLUJO SEMANAL (2)'!V70</f>
        <v>39896.462193681342</v>
      </c>
      <c r="R6" s="62">
        <f>+'FLUJO SEMANAL (2)'!W70</f>
        <v>36343.937559065962</v>
      </c>
      <c r="S6" s="62">
        <f>+'FLUJO SEMANAL (2)'!X70</f>
        <v>59149.083934065959</v>
      </c>
      <c r="T6" s="62">
        <f>+'FLUJO SEMANAL (2)'!Y70</f>
        <v>54245.139214065959</v>
      </c>
      <c r="U6" s="62">
        <f>+'FLUJO SEMANAL (2)'!Z70</f>
        <v>57142.120494065959</v>
      </c>
      <c r="V6" s="62">
        <f>+'FLUJO SEMANAL (2)'!AA70</f>
        <v>48882.24977406596</v>
      </c>
      <c r="W6" s="62">
        <f>+'FLUJO SEMANAL (2)'!AB70</f>
        <v>39106.863054065965</v>
      </c>
      <c r="X6" s="62">
        <f>+'FLUJO SEMANAL (2)'!AC70</f>
        <v>34202.918334065966</v>
      </c>
      <c r="Y6" s="62">
        <f>+'FLUJO SEMANAL (2)'!AD70</f>
        <v>37099.899614065966</v>
      </c>
      <c r="Z6" s="62">
        <f>+'FLUJO SEMANAL (2)'!AE70</f>
        <v>28840.028894065967</v>
      </c>
      <c r="AA6" s="62">
        <f>+'FLUJO SEMANAL (2)'!AF70</f>
        <v>19064.642174065968</v>
      </c>
      <c r="AB6" s="62">
        <f>+'FLUJO SEMANAL (2)'!AG70</f>
        <v>24395.91886637366</v>
      </c>
      <c r="AC6" s="62">
        <f>+'FLUJO SEMANAL (2)'!AH70</f>
        <v>29308.121558681352</v>
      </c>
      <c r="AD6" s="62">
        <f>+'FLUJO SEMANAL (2)'!AI70</f>
        <v>27173.472250989045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INSTRUCTIVO CPA</vt:lpstr>
      <vt:lpstr>PARAMETROS</vt:lpstr>
      <vt:lpstr>FLUJO SEMANAL</vt:lpstr>
      <vt:lpstr>Estadística</vt:lpstr>
      <vt:lpstr>RESUMEN Y ALERTA</vt:lpstr>
      <vt:lpstr>FLUJO SEMANAL (2)</vt:lpstr>
      <vt:lpstr>GANTT OBRAS</vt:lpstr>
      <vt:lpstr>Estadística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2026-09-08T02:59:47Z</dcterms:created>
  <dcterms:modified xsi:type="dcterms:W3CDTF">2026-09-25T00:53:36Z</dcterms:modified>
</cp:coreProperties>
</file>