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6" autoFilterDateGrouping="1"/>
  </bookViews>
  <sheets>
    <sheet name="PORTADA" sheetId="1" state="hidden" r:id="rId1"/>
    <sheet name="INSTRUCTIVO CPA" sheetId="2" state="hidden" r:id="rId2"/>
    <sheet name="PARAMETROS" sheetId="3" state="hidden" r:id="rId3"/>
    <sheet name="FLUJO SEMANAL" sheetId="4" state="hidden" r:id="rId4"/>
    <sheet name="Estadística" sheetId="5" state="hidden" r:id="rId5"/>
    <sheet name="RESUMEN Y ALERTA" sheetId="6" state="hidden" r:id="rId6"/>
    <sheet name="FLUJO SEMANAL (2)" sheetId="7" state="visible" r:id="rId7"/>
    <sheet name="ESCENARIOS" sheetId="8" state="visible" r:id="rId8"/>
    <sheet name="GANTT OBRAS" sheetId="9" state="visible" r:id="rId9"/>
    <sheet name="Estadística (2)" sheetId="10" state="visible" r:id="rId10"/>
  </sheets>
  <definedNames/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dd\-mmm\-yyyy"/>
    <numFmt numFmtId="165" formatCode="[Blue]&quot;$&quot;#,##0;[Red]&quot;$&quot;\-#,##0"/>
    <numFmt numFmtId="166" formatCode="_ &quot;$&quot;* #,##0.00_ ;_ &quot;$&quot;* \-#,##0.00_ ;_ &quot;$&quot;* &quot;-&quot;??_ ;_ @_ "/>
    <numFmt numFmtId="167" formatCode="#.##0"/>
    <numFmt numFmtId="168" formatCode="#,##0;(#,##0);-"/>
  </numFmts>
  <fonts count="53">
    <font>
      <name val="Calibri"/>
      <color theme="1"/>
      <sz val="11"/>
      <scheme val="minor"/>
    </font>
    <font>
      <name val="Calibri"/>
      <family val="2"/>
      <b val="1"/>
      <color rgb="FF1F3864"/>
      <sz val="14"/>
    </font>
    <font>
      <name val="Calibri"/>
      <family val="2"/>
      <b val="1"/>
      <color rgb="FF1F3864"/>
      <sz val="16"/>
    </font>
    <font>
      <name val="Calibri"/>
      <family val="2"/>
      <b val="1"/>
      <color rgb="FF1F3864"/>
      <sz val="13"/>
    </font>
    <font>
      <name val="Calibri"/>
      <family val="2"/>
      <b val="1"/>
      <color theme="1"/>
      <sz val="12"/>
    </font>
    <font>
      <name val="Calibri"/>
      <family val="2"/>
      <i val="1"/>
      <color rgb="FF7F7F7F"/>
      <sz val="9"/>
    </font>
    <font>
      <name val="Calibri"/>
      <family val="2"/>
      <b val="1"/>
      <i val="1"/>
      <color rgb="FF7F7F7F"/>
      <sz val="9"/>
    </font>
    <font>
      <name val="Calibri"/>
      <family val="2"/>
      <color theme="1"/>
      <sz val="10"/>
    </font>
    <font>
      <name val="Calibri"/>
      <family val="2"/>
      <i val="1"/>
      <color rgb="FF595959"/>
      <sz val="11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1"/>
    </font>
    <font>
      <name val="Calibri"/>
      <family val="2"/>
      <b val="1"/>
      <color rgb="FF1F3864"/>
      <sz val="12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0"/>
    </font>
    <font>
      <name val="Calibri"/>
      <family val="2"/>
      <b val="1"/>
      <color theme="1"/>
      <sz val="8"/>
    </font>
    <font>
      <name val="Calibri"/>
      <family val="2"/>
      <b val="1"/>
      <color rgb="FFC00000"/>
      <sz val="12"/>
    </font>
    <font>
      <name val="Calibri"/>
      <family val="2"/>
      <i val="1"/>
      <color theme="1"/>
      <sz val="10"/>
    </font>
    <font>
      <name val="Calibri"/>
      <family val="2"/>
      <color theme="1"/>
      <sz val="9"/>
    </font>
    <font>
      <name val="Calibri"/>
      <family val="2"/>
      <i val="1"/>
      <color theme="1"/>
      <sz val="8"/>
    </font>
    <font>
      <name val="Calibri"/>
      <family val="2"/>
      <b val="1"/>
      <color rgb="FFFFFFFF"/>
      <sz val="11"/>
    </font>
    <font>
      <name val="Calibri"/>
      <family val="2"/>
      <b val="1"/>
      <color rgb="FF7F7F7F"/>
      <sz val="9"/>
    </font>
    <font>
      <name val="Calibri"/>
      <family val="2"/>
      <b val="1"/>
      <color theme="1"/>
      <sz val="9"/>
    </font>
    <font>
      <name val="Calibri"/>
      <family val="2"/>
      <b val="1"/>
      <color rgb="FFC00000"/>
      <sz val="9"/>
    </font>
    <font>
      <name val="Calibri"/>
      <family val="2"/>
      <color rgb="FF004E9A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0"/>
    </font>
    <font>
      <name val="Calibri"/>
      <family val="2"/>
      <color theme="1"/>
      <sz val="10"/>
    </font>
    <font>
      <name val="Calibri"/>
      <family val="2"/>
      <color rgb="FF0000FF"/>
      <sz val="11"/>
    </font>
    <font>
      <name val="Calibri"/>
      <family val="2"/>
      <b val="1"/>
      <color rgb="FFFFFFFF"/>
      <sz val="10"/>
    </font>
    <font>
      <name val="Calibri"/>
      <family val="2"/>
      <sz val="8"/>
      <scheme val="minor"/>
    </font>
    <font>
      <name val="Calibri"/>
      <family val="2"/>
      <b val="1"/>
      <color theme="1"/>
      <sz val="8"/>
    </font>
    <font>
      <name val="Calibri"/>
      <family val="2"/>
      <b val="1"/>
      <i val="1"/>
      <color theme="1"/>
      <sz val="11"/>
    </font>
    <font>
      <name val="Calibri"/>
      <family val="2"/>
      <color rgb="FFFF0000"/>
      <sz val="11"/>
    </font>
    <font>
      <name val="Calibri"/>
      <family val="2"/>
      <i val="1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sz val="11"/>
    </font>
    <font>
      <name val="Calibri"/>
      <family val="2"/>
      <b val="1"/>
      <color rgb="FF1F3864"/>
      <sz val="14"/>
    </font>
    <font>
      <name val="Calibri"/>
      <family val="2"/>
      <b val="1"/>
      <color theme="1"/>
      <sz val="13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i val="1"/>
      <color rgb="FF606060"/>
      <sz val="11"/>
      <scheme val="minor"/>
    </font>
    <font>
      <name val="Calibri"/>
      <family val="2"/>
      <b val="1"/>
      <color rgb="FF808080"/>
      <sz val="8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7F7F7F"/>
      <sz val="10"/>
    </font>
    <font>
      <name val="Calibri"/>
      <b val="1"/>
      <sz val="12"/>
    </font>
  </fonts>
  <fills count="3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63BE7B"/>
        <bgColor rgb="FF63BE7B"/>
      </patternFill>
    </fill>
    <fill>
      <patternFill patternType="solid">
        <fgColor rgb="FFFFEB84"/>
        <bgColor rgb="FFFFEB84"/>
      </patternFill>
    </fill>
    <fill>
      <patternFill patternType="solid">
        <fgColor rgb="FFF8696B"/>
        <bgColor rgb="FFF8696B"/>
      </patternFill>
    </fill>
    <fill>
      <patternFill patternType="solid">
        <fgColor rgb="FFFFF9E6"/>
        <bgColor rgb="FFFFF9E6"/>
      </patternFill>
    </fill>
    <fill>
      <patternFill patternType="solid">
        <fgColor rgb="FFF4B183"/>
        <bgColor rgb="FFF4B183"/>
      </patternFill>
    </fill>
    <fill>
      <patternFill patternType="solid">
        <fgColor rgb="FFFFFF00"/>
        <bgColor rgb="FFFFFF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E6C29B"/>
        <bgColor indexed="64"/>
      </patternFill>
    </fill>
    <fill>
      <patternFill patternType="solid">
        <fgColor rgb="FFB4E0C6"/>
        <bgColor indexed="64"/>
      </patternFill>
    </fill>
    <fill>
      <patternFill patternType="solid">
        <fgColor rgb="FF99E6FF"/>
        <bgColor indexed="64"/>
      </patternFill>
    </fill>
    <fill>
      <patternFill patternType="solid">
        <fgColor rgb="FF83B1F4"/>
        <bgColor indexed="64"/>
      </patternFill>
    </fill>
    <fill>
      <patternFill patternType="solid">
        <fgColor rgb="FFE9D2D9"/>
        <bgColor indexed="64"/>
      </patternFill>
    </fill>
    <fill>
      <patternFill patternType="solid">
        <fgColor rgb="FFE7C6B4"/>
        <bgColor indexed="64"/>
      </patternFill>
    </fill>
    <fill>
      <patternFill patternType="solid">
        <fgColor rgb="FF8ED1A9"/>
        <bgColor indexed="64"/>
      </patternFill>
    </fill>
    <fill>
      <patternFill patternType="solid">
        <fgColor rgb="FF66D9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5"/>
    <xf numFmtId="44" fontId="13" fillId="0" borderId="5"/>
  </cellStyleXfs>
  <cellXfs count="18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pivotButton="0" quotePrefix="0" xfId="0"/>
    <xf numFmtId="4" fontId="14" fillId="0" borderId="2" pivotButton="0" quotePrefix="0" xfId="0"/>
    <xf numFmtId="164" fontId="14" fillId="0" borderId="0" pivotButton="0" quotePrefix="0" xfId="0"/>
    <xf numFmtId="0" fontId="15" fillId="0" borderId="0" applyAlignment="1" pivotButton="0" quotePrefix="0" xfId="0">
      <alignment vertical="center"/>
    </xf>
    <xf numFmtId="0" fontId="10" fillId="0" borderId="0" pivotButton="0" quotePrefix="0" xfId="0"/>
    <xf numFmtId="4" fontId="10" fillId="4" borderId="2" pivotButton="0" quotePrefix="0" xfId="0"/>
    <xf numFmtId="0" fontId="16" fillId="5" borderId="1" applyAlignment="1" pivotButton="0" quotePrefix="0" xfId="0">
      <alignment horizontal="center" wrapText="1"/>
    </xf>
    <xf numFmtId="0" fontId="14" fillId="6" borderId="1" pivotButton="0" quotePrefix="0" xfId="0"/>
    <xf numFmtId="0" fontId="17" fillId="0" borderId="0" applyAlignment="1" pivotButton="0" quotePrefix="0" xfId="0">
      <alignment vertical="center"/>
    </xf>
    <xf numFmtId="0" fontId="14" fillId="7" borderId="1" pivotButton="0" quotePrefix="0" xfId="0"/>
    <xf numFmtId="0" fontId="7" fillId="0" borderId="0" pivotButton="0" quotePrefix="0" xfId="0"/>
    <xf numFmtId="0" fontId="14" fillId="8" borderId="1" pivotButton="0" quotePrefix="0" xfId="0"/>
    <xf numFmtId="0" fontId="15" fillId="2" borderId="1" applyAlignment="1" pivotButton="0" quotePrefix="0" xfId="0">
      <alignment vertical="center"/>
    </xf>
    <xf numFmtId="0" fontId="14" fillId="0" borderId="0" pivotButton="0" quotePrefix="0" xfId="0"/>
    <xf numFmtId="0" fontId="14" fillId="9" borderId="1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center"/>
    </xf>
    <xf numFmtId="4" fontId="10" fillId="2" borderId="1" pivotButton="0" quotePrefix="0" xfId="0"/>
    <xf numFmtId="4" fontId="10" fillId="0" borderId="2" pivotButton="0" quotePrefix="0" xfId="0"/>
    <xf numFmtId="0" fontId="20" fillId="0" borderId="0" applyAlignment="1" pivotButton="0" quotePrefix="0" xfId="0">
      <alignment vertical="center"/>
    </xf>
    <xf numFmtId="0" fontId="4" fillId="4" borderId="1" applyAlignment="1" pivotButton="0" quotePrefix="0" xfId="0">
      <alignment vertical="top" wrapText="1"/>
    </xf>
    <xf numFmtId="0" fontId="21" fillId="3" borderId="1" applyAlignment="1" pivotButton="0" quotePrefix="0" xfId="0">
      <alignment vertical="center"/>
    </xf>
    <xf numFmtId="0" fontId="14" fillId="3" borderId="1" pivotButton="0" quotePrefix="0" xfId="0"/>
    <xf numFmtId="4" fontId="14" fillId="0" borderId="0" pivotButton="0" quotePrefix="0" xfId="0"/>
    <xf numFmtId="4" fontId="14" fillId="9" borderId="1" pivotButton="0" quotePrefix="0" xfId="0"/>
    <xf numFmtId="0" fontId="15" fillId="5" borderId="1" applyAlignment="1" pivotButton="0" quotePrefix="0" xfId="0">
      <alignment vertical="center"/>
    </xf>
    <xf numFmtId="4" fontId="10" fillId="5" borderId="1" pivotButton="0" quotePrefix="0" xfId="0"/>
    <xf numFmtId="0" fontId="18" fillId="0" borderId="0" applyAlignment="1" pivotButton="0" quotePrefix="0" xfId="0">
      <alignment vertical="center"/>
    </xf>
    <xf numFmtId="4" fontId="10" fillId="0" borderId="0" pivotButton="0" quotePrefix="0" xfId="0"/>
    <xf numFmtId="2" fontId="14" fillId="0" borderId="0" pivotButton="0" quotePrefix="0" xfId="0"/>
    <xf numFmtId="4" fontId="10" fillId="4" borderId="1" pivotButton="0" quotePrefix="0" xfId="0"/>
    <xf numFmtId="2" fontId="10" fillId="0" borderId="0" pivotButton="0" quotePrefix="0" xfId="0"/>
    <xf numFmtId="4" fontId="10" fillId="10" borderId="1" pivotButton="0" quotePrefix="0" xfId="0"/>
    <xf numFmtId="4" fontId="10" fillId="8" borderId="1" pivotButton="0" quotePrefix="0" xfId="0"/>
    <xf numFmtId="4" fontId="14" fillId="11" borderId="1" pivotButton="0" quotePrefix="0" xfId="0"/>
    <xf numFmtId="0" fontId="18" fillId="9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" fontId="10" fillId="10" borderId="1" applyAlignment="1" pivotButton="0" quotePrefix="0" xfId="0">
      <alignment vertical="center"/>
    </xf>
    <xf numFmtId="4" fontId="10" fillId="0" borderId="0" applyAlignment="1" pivotButton="0" quotePrefix="0" xfId="0">
      <alignment vertical="center"/>
    </xf>
    <xf numFmtId="4" fontId="10" fillId="2" borderId="1" applyAlignment="1" pivotButton="0" quotePrefix="0" xfId="0">
      <alignment vertical="center"/>
    </xf>
    <xf numFmtId="4" fontId="22" fillId="0" borderId="0" pivotButton="0" quotePrefix="0" xfId="0"/>
    <xf numFmtId="4" fontId="23" fillId="0" borderId="0" pivotButton="0" quotePrefix="0" xfId="0"/>
    <xf numFmtId="0" fontId="10" fillId="0" borderId="0" applyAlignment="1" pivotButton="0" quotePrefix="0" xfId="0">
      <alignment horizontal="center"/>
    </xf>
    <xf numFmtId="4" fontId="24" fillId="0" borderId="0" pivotButton="0" quotePrefix="0" xfId="0"/>
    <xf numFmtId="0" fontId="15" fillId="4" borderId="1" applyAlignment="1" pivotButton="0" quotePrefix="0" xfId="0">
      <alignment vertical="center"/>
    </xf>
    <xf numFmtId="0" fontId="16" fillId="4" borderId="1" applyAlignment="1" pivotButton="0" quotePrefix="0" xfId="0">
      <alignment horizontal="center" vertical="center" wrapText="1"/>
    </xf>
    <xf numFmtId="4" fontId="25" fillId="0" borderId="0" pivotButton="0" quotePrefix="0" xfId="0"/>
    <xf numFmtId="0" fontId="26" fillId="0" borderId="0" pivotButton="0" quotePrefix="0" xfId="0"/>
    <xf numFmtId="0" fontId="29" fillId="0" borderId="0" applyAlignment="1" pivotButton="0" quotePrefix="0" xfId="0">
      <alignment vertical="center"/>
    </xf>
    <xf numFmtId="165" fontId="26" fillId="0" borderId="6" pivotButton="0" quotePrefix="0" xfId="0"/>
    <xf numFmtId="0" fontId="30" fillId="0" borderId="0" applyAlignment="1" pivotButton="0" quotePrefix="0" xfId="0">
      <alignment vertical="center"/>
    </xf>
    <xf numFmtId="4" fontId="27" fillId="0" borderId="0" pivotButton="0" quotePrefix="0" xfId="0"/>
    <xf numFmtId="4" fontId="31" fillId="0" borderId="0" pivotButton="0" quotePrefix="0" xfId="0"/>
    <xf numFmtId="0" fontId="14" fillId="3" borderId="5" pivotButton="0" quotePrefix="0" xfId="0"/>
    <xf numFmtId="4" fontId="14" fillId="9" borderId="5" pivotButton="0" quotePrefix="0" xfId="0"/>
    <xf numFmtId="4" fontId="10" fillId="5" borderId="5" pivotButton="0" quotePrefix="0" xfId="0"/>
    <xf numFmtId="0" fontId="32" fillId="3" borderId="2" applyAlignment="1" pivotButton="0" quotePrefix="0" xfId="0">
      <alignment horizontal="center" vertical="center" wrapText="1"/>
    </xf>
    <xf numFmtId="4" fontId="14" fillId="12" borderId="0" pivotButton="0" quotePrefix="0" xfId="0"/>
    <xf numFmtId="0" fontId="34" fillId="5" borderId="1" applyAlignment="1" pivotButton="0" quotePrefix="0" xfId="0">
      <alignment horizontal="center" vertical="center" wrapText="1"/>
    </xf>
    <xf numFmtId="0" fontId="35" fillId="13" borderId="0" applyAlignment="1" pivotButton="0" quotePrefix="0" xfId="0">
      <alignment vertical="center"/>
    </xf>
    <xf numFmtId="0" fontId="35" fillId="14" borderId="0" applyAlignment="1" pivotButton="0" quotePrefix="0" xfId="0">
      <alignment vertical="center"/>
    </xf>
    <xf numFmtId="0" fontId="35" fillId="15" borderId="0" applyAlignment="1" pivotButton="0" quotePrefix="0" xfId="0">
      <alignment vertical="center"/>
    </xf>
    <xf numFmtId="0" fontId="35" fillId="16" borderId="0" applyAlignment="1" pivotButton="0" quotePrefix="0" xfId="0">
      <alignment vertical="center"/>
    </xf>
    <xf numFmtId="0" fontId="26" fillId="0" borderId="0" applyAlignment="1" pivotButton="0" quotePrefix="0" xfId="0">
      <alignment horizontal="right"/>
    </xf>
    <xf numFmtId="4" fontId="28" fillId="9" borderId="1" pivotButton="0" quotePrefix="0" xfId="0"/>
    <xf numFmtId="4" fontId="26" fillId="0" borderId="0" applyAlignment="1" pivotButton="0" quotePrefix="0" xfId="0">
      <alignment horizontal="center"/>
    </xf>
    <xf numFmtId="4" fontId="0" fillId="0" borderId="0" pivotButton="0" quotePrefix="0" xfId="0"/>
    <xf numFmtId="0" fontId="30" fillId="17" borderId="0" applyAlignment="1" pivotButton="0" quotePrefix="0" xfId="0">
      <alignment vertical="center"/>
    </xf>
    <xf numFmtId="0" fontId="30" fillId="18" borderId="0" applyAlignment="1" pivotButton="0" quotePrefix="0" xfId="0">
      <alignment vertical="center"/>
    </xf>
    <xf numFmtId="0" fontId="30" fillId="19" borderId="0" applyAlignment="1" pivotButton="0" quotePrefix="0" xfId="0">
      <alignment vertical="center"/>
    </xf>
    <xf numFmtId="0" fontId="7" fillId="20" borderId="0" applyAlignment="1" pivotButton="0" quotePrefix="0" xfId="0">
      <alignment vertical="center"/>
    </xf>
    <xf numFmtId="0" fontId="30" fillId="20" borderId="0" applyAlignment="1" pivotButton="0" quotePrefix="0" xfId="0">
      <alignment vertical="center"/>
    </xf>
    <xf numFmtId="0" fontId="30" fillId="21" borderId="0" applyAlignment="1" pivotButton="0" quotePrefix="0" xfId="0">
      <alignment vertical="center"/>
    </xf>
    <xf numFmtId="0" fontId="7" fillId="22" borderId="0" applyAlignment="1" pivotButton="0" quotePrefix="0" xfId="0">
      <alignment vertical="center"/>
    </xf>
    <xf numFmtId="0" fontId="30" fillId="22" borderId="0" applyAlignment="1" pivotButton="0" quotePrefix="0" xfId="0">
      <alignment vertical="center"/>
    </xf>
    <xf numFmtId="4" fontId="36" fillId="0" borderId="0" pivotButton="0" quotePrefix="0" xfId="0"/>
    <xf numFmtId="0" fontId="37" fillId="0" borderId="0" applyAlignment="1" pivotButton="0" quotePrefix="0" xfId="0">
      <alignment vertical="center"/>
    </xf>
    <xf numFmtId="4" fontId="36" fillId="23" borderId="0" pivotButton="0" quotePrefix="0" xfId="0"/>
    <xf numFmtId="0" fontId="30" fillId="24" borderId="0" applyAlignment="1" pivotButton="0" quotePrefix="0" xfId="0">
      <alignment vertical="center"/>
    </xf>
    <xf numFmtId="0" fontId="38" fillId="5" borderId="1" applyAlignment="1" pivotButton="0" quotePrefix="0" xfId="0">
      <alignment vertical="center"/>
    </xf>
    <xf numFmtId="0" fontId="37" fillId="24" borderId="0" applyAlignment="1" pivotButton="0" quotePrefix="0" xfId="0">
      <alignment vertical="center"/>
    </xf>
    <xf numFmtId="0" fontId="38" fillId="15" borderId="0" applyAlignment="1" pivotButton="0" quotePrefix="0" xfId="0">
      <alignment vertical="center"/>
    </xf>
    <xf numFmtId="166" fontId="28" fillId="5" borderId="5" applyAlignment="1" pivotButton="0" quotePrefix="0" xfId="1">
      <alignment horizontal="center" vertical="center"/>
    </xf>
    <xf numFmtId="166" fontId="39" fillId="15" borderId="0" applyAlignment="1" pivotButton="0" quotePrefix="0" xfId="1">
      <alignment horizontal="center" vertical="center"/>
    </xf>
    <xf numFmtId="166" fontId="39" fillId="15" borderId="0" pivotButton="0" quotePrefix="0" xfId="1"/>
    <xf numFmtId="166" fontId="28" fillId="5" borderId="1" pivotButton="0" quotePrefix="0" xfId="1"/>
    <xf numFmtId="166" fontId="14" fillId="0" borderId="0" pivotButton="0" quotePrefix="0" xfId="1"/>
    <xf numFmtId="0" fontId="40" fillId="0" borderId="0" pivotButton="0" quotePrefix="0" xfId="0"/>
    <xf numFmtId="4" fontId="39" fillId="9" borderId="1" pivotButton="0" quotePrefix="0" xfId="0"/>
    <xf numFmtId="0" fontId="10" fillId="0" borderId="0" applyAlignment="1" pivotButton="0" quotePrefix="0" xfId="0">
      <alignment vertical="center"/>
    </xf>
    <xf numFmtId="0" fontId="16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1" fillId="0" borderId="0" pivotButton="0" quotePrefix="0" xfId="0"/>
    <xf numFmtId="167" fontId="0" fillId="0" borderId="2" pivotButton="0" quotePrefix="0" xfId="0"/>
    <xf numFmtId="0" fontId="0" fillId="0" borderId="2" pivotButton="0" quotePrefix="0" xfId="0"/>
    <xf numFmtId="0" fontId="44" fillId="0" borderId="2" applyAlignment="1" pivotButton="0" quotePrefix="0" xfId="0">
      <alignment wrapText="1"/>
    </xf>
    <xf numFmtId="0" fontId="26" fillId="0" borderId="2" pivotButton="0" quotePrefix="0" xfId="0"/>
    <xf numFmtId="0" fontId="42" fillId="0" borderId="2" pivotButton="0" quotePrefix="0" xfId="0"/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/>
    </xf>
    <xf numFmtId="4" fontId="36" fillId="12" borderId="0" pivotButton="0" quotePrefix="0" xfId="0"/>
    <xf numFmtId="0" fontId="43" fillId="25" borderId="2" applyAlignment="1" pivotButton="0" quotePrefix="0" xfId="0">
      <alignment horizontal="center" vertical="center"/>
    </xf>
    <xf numFmtId="16" fontId="43" fillId="2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167" fontId="0" fillId="0" borderId="2" applyAlignment="1" pivotButton="0" quotePrefix="0" xfId="0">
      <alignment horizontal="center" vertical="center"/>
    </xf>
    <xf numFmtId="0" fontId="44" fillId="0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47" fillId="0" borderId="0" pivotButton="0" quotePrefix="0" xfId="0"/>
    <xf numFmtId="0" fontId="48" fillId="0" borderId="0" pivotButton="0" quotePrefix="0" xfId="0"/>
    <xf numFmtId="166" fontId="0" fillId="0" borderId="2" applyAlignment="1" pivotButton="0" quotePrefix="0" xfId="1">
      <alignment vertical="center"/>
    </xf>
    <xf numFmtId="166" fontId="0" fillId="0" borderId="2" applyAlignment="1" pivotButton="0" quotePrefix="0" xfId="1">
      <alignment horizontal="right" vertical="center"/>
    </xf>
    <xf numFmtId="166" fontId="0" fillId="0" borderId="2" applyAlignment="1" pivotButton="0" quotePrefix="0" xfId="1">
      <alignment horizontal="center" vertical="center"/>
    </xf>
    <xf numFmtId="166" fontId="26" fillId="0" borderId="2" pivotButton="0" quotePrefix="0" xfId="1"/>
    <xf numFmtId="166" fontId="0" fillId="0" borderId="2" applyAlignment="1" pivotButton="0" quotePrefix="0" xfId="1">
      <alignment horizontal="right"/>
    </xf>
    <xf numFmtId="166" fontId="0" fillId="0" borderId="2" pivotButton="0" quotePrefix="0" xfId="1"/>
    <xf numFmtId="166" fontId="0" fillId="0" borderId="2" applyAlignment="1" pivotButton="0" quotePrefix="0" xfId="1">
      <alignment horizontal="center"/>
    </xf>
    <xf numFmtId="0" fontId="0" fillId="0" borderId="0" applyAlignment="1" pivotButton="0" quotePrefix="0" xfId="0">
      <alignment vertical="top"/>
    </xf>
    <xf numFmtId="0" fontId="10" fillId="2" borderId="3" applyAlignment="1" pivotButton="0" quotePrefix="0" xfId="0">
      <alignment vertical="center"/>
    </xf>
    <xf numFmtId="0" fontId="12" fillId="0" borderId="4" pivotButton="0" quotePrefix="0" xfId="0"/>
    <xf numFmtId="0" fontId="12" fillId="0" borderId="5" pivotButton="0" quotePrefix="0" xfId="0"/>
    <xf numFmtId="0" fontId="19" fillId="0" borderId="0" pivotButton="0" quotePrefix="0" xfId="0"/>
    <xf numFmtId="0" fontId="0" fillId="0" borderId="0" pivotButton="0" quotePrefix="0" xfId="0"/>
    <xf numFmtId="0" fontId="10" fillId="4" borderId="3" applyAlignment="1" pivotButton="0" quotePrefix="0" xfId="0">
      <alignment vertical="center"/>
    </xf>
    <xf numFmtId="0" fontId="3" fillId="0" borderId="0" pivotButton="0" quotePrefix="0" xfId="0"/>
    <xf numFmtId="0" fontId="4" fillId="2" borderId="3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5" fillId="31" borderId="2" applyAlignment="1" pivotButton="0" quotePrefix="0" xfId="0">
      <alignment horizontal="center" vertical="center" wrapText="1"/>
    </xf>
    <xf numFmtId="0" fontId="45" fillId="32" borderId="2" applyAlignment="1" pivotButton="0" quotePrefix="0" xfId="0">
      <alignment horizontal="center" vertical="center" wrapText="1"/>
    </xf>
    <xf numFmtId="0" fontId="45" fillId="33" borderId="2" applyAlignment="1" pivotButton="0" quotePrefix="0" xfId="0">
      <alignment horizontal="center" vertical="center" wrapText="1"/>
    </xf>
    <xf numFmtId="0" fontId="46" fillId="34" borderId="2" applyAlignment="1" pivotButton="0" quotePrefix="0" xfId="0">
      <alignment horizontal="center" vertical="center"/>
    </xf>
    <xf numFmtId="0" fontId="45" fillId="26" borderId="2" applyAlignment="1" pivotButton="0" quotePrefix="0" xfId="0">
      <alignment horizontal="center" vertical="center" wrapText="1"/>
    </xf>
    <xf numFmtId="0" fontId="45" fillId="27" borderId="2" applyAlignment="1" pivotButton="0" quotePrefix="0" xfId="0">
      <alignment horizontal="center" vertical="center" wrapText="1"/>
    </xf>
    <xf numFmtId="0" fontId="45" fillId="28" borderId="2" applyAlignment="1" pivotButton="0" quotePrefix="0" xfId="0">
      <alignment horizontal="center" vertical="center" wrapText="1"/>
    </xf>
    <xf numFmtId="0" fontId="45" fillId="29" borderId="2" applyAlignment="1" pivotButton="0" quotePrefix="0" xfId="0">
      <alignment horizontal="center" vertical="center" wrapText="1"/>
    </xf>
    <xf numFmtId="0" fontId="45" fillId="30" borderId="2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4" fontId="14" fillId="35" borderId="0" pivotButton="0" quotePrefix="0" xfId="0"/>
    <xf numFmtId="0" fontId="3" fillId="0" borderId="5" pivotButton="0" quotePrefix="0" xfId="0"/>
    <xf numFmtId="0" fontId="10" fillId="2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19" fillId="0" borderId="5" pivotButton="0" quotePrefix="0" xfId="0"/>
    <xf numFmtId="0" fontId="49" fillId="0" borderId="0" pivotButton="0" quotePrefix="0" xfId="0"/>
    <xf numFmtId="4" fontId="0" fillId="36" borderId="0" pivotButton="0" quotePrefix="0" xfId="0"/>
    <xf numFmtId="0" fontId="4" fillId="2" borderId="5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166" fontId="39" fillId="15" borderId="0" pivotButton="0" quotePrefix="0" xfId="1"/>
    <xf numFmtId="166" fontId="39" fillId="15" borderId="0" applyAlignment="1" pivotButton="0" quotePrefix="0" xfId="1">
      <alignment horizontal="center" vertical="center"/>
    </xf>
    <xf numFmtId="166" fontId="14" fillId="0" borderId="0" pivotButton="0" quotePrefix="0" xfId="1"/>
    <xf numFmtId="166" fontId="28" fillId="5" borderId="1" pivotButton="0" quotePrefix="0" xfId="1"/>
    <xf numFmtId="166" fontId="28" fillId="5" borderId="5" applyAlignment="1" pivotButton="0" quotePrefix="0" xfId="1">
      <alignment horizontal="center" vertical="center"/>
    </xf>
    <xf numFmtId="0" fontId="50" fillId="0" borderId="0" pivotButton="0" quotePrefix="0" xfId="0"/>
    <xf numFmtId="0" fontId="0" fillId="0" borderId="0" applyAlignment="1" pivotButton="0" quotePrefix="0" xfId="0">
      <alignment wrapText="1"/>
    </xf>
    <xf numFmtId="0" fontId="51" fillId="0" borderId="0" pivotButton="0" quotePrefix="0" xfId="0"/>
    <xf numFmtId="168" fontId="0" fillId="0" borderId="0" pivotButton="0" quotePrefix="0" xfId="0"/>
    <xf numFmtId="168" fontId="0" fillId="37" borderId="0" pivotButton="0" quotePrefix="0" xfId="0"/>
    <xf numFmtId="0" fontId="52" fillId="0" borderId="0" pivotButton="0" quotePrefix="0" xfId="0"/>
    <xf numFmtId="0" fontId="49" fillId="37" borderId="0" applyAlignment="1" pivotButton="0" quotePrefix="0" xfId="0">
      <alignment wrapText="1"/>
    </xf>
    <xf numFmtId="0" fontId="42" fillId="0" borderId="5" applyAlignment="1" pivotButton="0" quotePrefix="0" xfId="0">
      <alignment horizontal="left" vertical="top" wrapText="1"/>
    </xf>
    <xf numFmtId="167" fontId="0" fillId="0" borderId="2" applyAlignment="1" pivotButton="0" quotePrefix="0" xfId="0">
      <alignment vertical="center"/>
    </xf>
    <xf numFmtId="166" fontId="0" fillId="0" borderId="2" applyAlignment="1" pivotButton="0" quotePrefix="0" xfId="1">
      <alignment vertical="center"/>
    </xf>
    <xf numFmtId="166" fontId="0" fillId="0" borderId="2" applyAlignment="1" pivotButton="0" quotePrefix="0" xfId="1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167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1">
      <alignment horizontal="center" vertical="center"/>
    </xf>
    <xf numFmtId="167" fontId="0" fillId="0" borderId="2" pivotButton="0" quotePrefix="0" xfId="0"/>
    <xf numFmtId="166" fontId="26" fillId="0" borderId="2" pivotButton="0" quotePrefix="0" xfId="1"/>
    <xf numFmtId="166" fontId="0" fillId="0" borderId="2" applyAlignment="1" pivotButton="0" quotePrefix="0" xfId="1">
      <alignment horizontal="right"/>
    </xf>
    <xf numFmtId="166" fontId="0" fillId="0" borderId="2" pivotButton="0" quotePrefix="0" xfId="1"/>
    <xf numFmtId="166" fontId="0" fillId="0" borderId="2" applyAlignment="1" pivotButton="0" quotePrefix="0" xfId="1">
      <alignment horizontal="center"/>
    </xf>
  </cellXfs>
  <cellStyles count="2">
    <cellStyle name="Normal" xfId="0" builtinId="0"/>
    <cellStyle name="Moneda" xfId="1" builtinId="4"/>
  </cellStyles>
  <dxfs count="8">
    <dxf>
      <font>
        <b val="1"/>
        <color rgb="FFC00000"/>
      </font>
      <fill>
        <patternFill patternType="solid">
          <fgColor rgb="FFF4B183"/>
          <bgColor rgb="FFF4B183"/>
        </patternFill>
      </fill>
    </dxf>
    <dxf>
      <fill>
        <patternFill patternType="solid">
          <fgColor rgb="FF63BE7B"/>
          <bgColor rgb="FF63BE7B"/>
        </patternFill>
      </fill>
    </dxf>
    <dxf>
      <fill>
        <patternFill patternType="solid">
          <fgColor rgb="FFFFEB84"/>
          <bgColor rgb="FFFFEB84"/>
        </patternFill>
      </fill>
    </dxf>
    <dxf>
      <fill>
        <patternFill patternType="solid">
          <fgColor rgb="FFF8696B"/>
          <bgColor rgb="FFF8696B"/>
        </patternFill>
      </fill>
    </dxf>
    <dxf>
      <font>
        <b val="1"/>
        <color rgb="FFC00000"/>
      </font>
      <fill>
        <patternFill patternType="solid">
          <fgColor rgb="FFF4B183"/>
          <bgColor rgb="FFF4B183"/>
        </patternFill>
      </fill>
    </dxf>
    <dxf>
      <fill>
        <patternFill patternType="solid">
          <fgColor rgb="FF63BE7B"/>
          <bgColor rgb="FF63BE7B"/>
        </patternFill>
      </fill>
    </dxf>
    <dxf>
      <fill>
        <patternFill patternType="solid">
          <fgColor rgb="FFFFEB84"/>
          <bgColor rgb="FFFFEB84"/>
        </patternFill>
      </fill>
    </dxf>
    <dxf>
      <fill>
        <patternFill patternType="solid">
          <fgColor rgb="FFF8696B"/>
          <bgColor rgb="FFF8696B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200" b="1"/>
              <a:t>FLUJO</a:t>
            </a:r>
            <a:r>
              <a:rPr lang="es-EC" sz="1200" b="1" baseline="0"/>
              <a:t xml:space="preserve"> DE  CAJA MOBIJUESA</a:t>
            </a:r>
            <a:endParaRPr lang="es-EC" sz="1200" b="1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C"/>
        </a:p>
      </txPr>
    </title>
    <plotArea>
      <layout/>
      <lineChart>
        <grouping val="standard"/>
        <varyColors val="0"/>
        <ser>
          <idx val="0"/>
          <order val="0"/>
          <tx>
            <strRef>
              <f>Estadística!$B$4</f>
              <strCache>
                <ptCount val="1"/>
                <pt idx="0">
                  <v>TOTAL INGRESOS</v>
                </pt>
              </strCache>
            </strRef>
          </tx>
          <spPr>
            <a:ln w="28575" cap="rnd">
              <a:solidFill>
                <a:srgbClr val="0000F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Estadística!$C$3:$L$3</f>
              <strCache>
                <ptCount val="10"/>
                <pt idx="0">
                  <v>07-Sep / 13-Sep</v>
                </pt>
                <pt idx="1">
                  <v>14-Sep / 20-Sep</v>
                </pt>
                <pt idx="2">
                  <v>21-Sep / 27-Sep</v>
                </pt>
                <pt idx="3">
                  <v>28-Sep / 04-Oct</v>
                </pt>
                <pt idx="4">
                  <v>05-Oct / 11-Oct</v>
                </pt>
                <pt idx="5">
                  <v>12-Oct / 18-Oct</v>
                </pt>
                <pt idx="6">
                  <v>19-Oct / 25-Oct</v>
                </pt>
                <pt idx="7">
                  <v>26-Oct / 01-Nov</v>
                </pt>
                <pt idx="8">
                  <v>02-Nov / 08-Nov</v>
                </pt>
                <pt idx="9">
                  <v>09-Nov / 15-Nov</v>
                </pt>
              </strCache>
            </strRef>
          </cat>
          <val>
            <numRef>
              <f>Estadística!$C$4:$L$4</f>
              <numCache>
                <formatCode>[Blue]"$"#,##0;[Red]"$"\-#,##0</formatCode>
                <ptCount val="10"/>
                <pt idx="0">
                  <v>19669.46</v>
                </pt>
                <pt idx="1">
                  <v>31435.3</v>
                </pt>
                <pt idx="2">
                  <v>23206.85423809524</v>
                </pt>
                <pt idx="3">
                  <v>19090.99347619047</v>
                </pt>
                <pt idx="4">
                  <v>3928.995714285709</v>
                </pt>
                <pt idx="5">
                  <v>-11747.32671428572</v>
                </pt>
                <pt idx="6">
                  <v>-15644.47514285715</v>
                </pt>
                <pt idx="7">
                  <v>-6989.34257142858</v>
                </pt>
                <pt idx="8">
                  <v>-14774.04600000001</v>
                </pt>
                <pt idx="9">
                  <v>-12752.71000000001</v>
                </pt>
              </numCache>
            </numRef>
          </val>
          <smooth val="0"/>
        </ser>
        <ser>
          <idx val="1"/>
          <order val="1"/>
          <tx>
            <strRef>
              <f>Estadística!$B$5</f>
              <strCache>
                <ptCount val="1"/>
                <pt idx="0">
                  <v>TOTAL EGRESOS (fijos + obra)</v>
                </pt>
              </strCache>
            </strRef>
          </tx>
          <spPr>
            <a:ln w="2857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Estadística!$C$3:$L$3</f>
              <strCache>
                <ptCount val="10"/>
                <pt idx="0">
                  <v>07-Sep / 13-Sep</v>
                </pt>
                <pt idx="1">
                  <v>14-Sep / 20-Sep</v>
                </pt>
                <pt idx="2">
                  <v>21-Sep / 27-Sep</v>
                </pt>
                <pt idx="3">
                  <v>28-Sep / 04-Oct</v>
                </pt>
                <pt idx="4">
                  <v>05-Oct / 11-Oct</v>
                </pt>
                <pt idx="5">
                  <v>12-Oct / 18-Oct</v>
                </pt>
                <pt idx="6">
                  <v>19-Oct / 25-Oct</v>
                </pt>
                <pt idx="7">
                  <v>26-Oct / 01-Nov</v>
                </pt>
                <pt idx="8">
                  <v>02-Nov / 08-Nov</v>
                </pt>
                <pt idx="9">
                  <v>09-Nov / 15-Nov</v>
                </pt>
              </strCache>
            </strRef>
          </cat>
          <val>
            <numRef>
              <f>Estadística!$C$5:$L$5</f>
              <numCache>
                <formatCode>[Blue]"$"#,##0;[Red]"$"\-#,##0</formatCode>
                <ptCount val="10"/>
                <pt idx="0">
                  <v>13199.86</v>
                </pt>
                <pt idx="1">
                  <v>16166.22376190476</v>
                </pt>
                <pt idx="2">
                  <v>14699.56476190476</v>
                </pt>
                <pt idx="3">
                  <v>20453.84976190476</v>
                </pt>
                <pt idx="4">
                  <v>18322.24842857143</v>
                </pt>
                <pt idx="5">
                  <v>11834.92642857143</v>
                </pt>
                <pt idx="6">
                  <v>1928.571428571428</v>
                </pt>
                <pt idx="7">
                  <v>13076.55542857143</v>
                </pt>
                <pt idx="8">
                  <v>624.59</v>
                </pt>
                <pt idx="9">
                  <v>1045</v>
                </pt>
              </numCache>
            </numRef>
          </val>
          <smooth val="0"/>
        </ser>
        <ser>
          <idx val="2"/>
          <order val="2"/>
          <tx>
            <strRef>
              <f>Estadística!$B$6</f>
              <strCache>
                <ptCount val="1"/>
                <pt idx="0">
                  <v>SALDO FINAL DE CAJA</v>
                </pt>
              </strCache>
            </strRef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EC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Estadística!$C$3:$L$3</f>
              <strCache>
                <ptCount val="10"/>
                <pt idx="0">
                  <v>07-Sep / 13-Sep</v>
                </pt>
                <pt idx="1">
                  <v>14-Sep / 20-Sep</v>
                </pt>
                <pt idx="2">
                  <v>21-Sep / 27-Sep</v>
                </pt>
                <pt idx="3">
                  <v>28-Sep / 04-Oct</v>
                </pt>
                <pt idx="4">
                  <v>05-Oct / 11-Oct</v>
                </pt>
                <pt idx="5">
                  <v>12-Oct / 18-Oct</v>
                </pt>
                <pt idx="6">
                  <v>19-Oct / 25-Oct</v>
                </pt>
                <pt idx="7">
                  <v>26-Oct / 01-Nov</v>
                </pt>
                <pt idx="8">
                  <v>02-Nov / 08-Nov</v>
                </pt>
                <pt idx="9">
                  <v>09-Nov / 15-Nov</v>
                </pt>
              </strCache>
            </strRef>
          </cat>
          <val>
            <numRef>
              <f>Estadística!$C$6:$L$6</f>
              <numCache>
                <formatCode>[Blue]"$"#,##0;[Red]"$"\-#,##0</formatCode>
                <ptCount val="10"/>
                <pt idx="0">
                  <v>31435.3</v>
                </pt>
                <pt idx="1">
                  <v>23206.85423809524</v>
                </pt>
                <pt idx="2">
                  <v>19090.99347619047</v>
                </pt>
                <pt idx="3">
                  <v>3928.995714285709</v>
                </pt>
                <pt idx="4">
                  <v>-11747.32671428572</v>
                </pt>
                <pt idx="5">
                  <v>-15644.47514285715</v>
                </pt>
                <pt idx="6">
                  <v>-6989.34257142858</v>
                </pt>
                <pt idx="7">
                  <v>-14774.04600000001</v>
                </pt>
                <pt idx="8">
                  <v>-12752.71000000001</v>
                </pt>
                <pt idx="9">
                  <v>-5859.932000000011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88523744"/>
        <axId val="588517984"/>
      </lineChart>
      <catAx>
        <axId val="5885237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C"/>
          </a:p>
        </txPr>
        <crossAx val="588517984"/>
        <crosses val="autoZero"/>
        <auto val="1"/>
        <lblAlgn val="ctr"/>
        <lblOffset val="100"/>
        <noMultiLvlLbl val="0"/>
      </catAx>
      <valAx>
        <axId val="588517984"/>
        <scaling>
          <orientation val="minMax"/>
        </scaling>
        <delete val="0"/>
        <axPos val="l"/>
        <numFmt formatCode="[Blue]&quot;$&quot;#,##0;[Red]&quot;$&quot;\-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C"/>
          </a:p>
        </txPr>
        <crossAx val="588523744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C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200" b="1"/>
              <a:t>FLUJO</a:t>
            </a:r>
            <a:r>
              <a:rPr lang="es-EC" sz="1200" b="1" baseline="0"/>
              <a:t xml:space="preserve"> DE  CAJA MOBIJUESA</a:t>
            </a:r>
            <a:endParaRPr lang="es-EC" sz="1200" b="1"/>
          </a:p>
        </rich>
      </tx>
      <layout>
        <manualLayout>
          <xMode val="edge"/>
          <yMode val="edge"/>
          <wMode val="factor"/>
          <hMode val="factor"/>
          <x val="0.2351250119646753"/>
          <y val="0.0422427035330261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C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5483551281753497"/>
          <y val="0.1330645161290323"/>
          <w val="0.9033749099946577"/>
          <h val="0.7899322060548883"/>
        </manualLayout>
      </layout>
      <lineChart>
        <grouping val="standard"/>
        <varyColors val="0"/>
        <ser>
          <idx val="0"/>
          <order val="0"/>
          <tx>
            <strRef>
              <f>'Estadística (2)'!$B$6</f>
              <strCache>
                <ptCount val="1"/>
                <pt idx="0">
                  <v>SALDO FINAL DE CAJA</v>
                </pt>
              </strCache>
            </strRef>
          </tx>
          <spPr>
            <a:ln w="28575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EC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'Estadística (2)'!$C$3:$AD$3</f>
              <strCache>
                <ptCount val="28"/>
                <pt idx="0">
                  <v>oct</v>
                </pt>
                <pt idx="1">
                  <v>oct</v>
                </pt>
                <pt idx="2">
                  <v>oct</v>
                </pt>
                <pt idx="3">
                  <v>nov</v>
                </pt>
                <pt idx="4">
                  <v>nov</v>
                </pt>
                <pt idx="5">
                  <v>nov</v>
                </pt>
                <pt idx="6">
                  <v>nov</v>
                </pt>
                <pt idx="7">
                  <v>nov</v>
                </pt>
                <pt idx="8">
                  <v>dic</v>
                </pt>
                <pt idx="9">
                  <v>dic</v>
                </pt>
                <pt idx="10">
                  <v>dic</v>
                </pt>
                <pt idx="11">
                  <v>dic</v>
                </pt>
                <pt idx="12">
                  <v>ene</v>
                </pt>
                <pt idx="13">
                  <v>ene</v>
                </pt>
                <pt idx="14">
                  <v>ene</v>
                </pt>
                <pt idx="15">
                  <v>ene</v>
                </pt>
                <pt idx="16">
                  <v>feb</v>
                </pt>
                <pt idx="17">
                  <v>feb</v>
                </pt>
                <pt idx="18">
                  <v>feb</v>
                </pt>
                <pt idx="19">
                  <v>feb</v>
                </pt>
                <pt idx="20">
                  <v>mar</v>
                </pt>
                <pt idx="21">
                  <v>mar</v>
                </pt>
                <pt idx="22">
                  <v>mar</v>
                </pt>
                <pt idx="23">
                  <v>mar</v>
                </pt>
                <pt idx="24">
                  <v>abr</v>
                </pt>
                <pt idx="25">
                  <v>abr</v>
                </pt>
                <pt idx="26">
                  <v>abr</v>
                </pt>
                <pt idx="27">
                  <v>abr</v>
                </pt>
              </strCache>
            </strRef>
          </cat>
          <val>
            <numRef>
              <f>'Estadística (2)'!$C$6:$AD$6</f>
              <numCache>
                <formatCode>[Blue]"$"#,##0;[Red]"$"\-#,##0</formatCode>
                <ptCount val="28"/>
                <pt idx="0">
                  <v>58093.21314285714</v>
                </pt>
                <pt idx="1">
                  <v>56972.63971428571</v>
                </pt>
                <pt idx="2">
                  <v>64429.88228571428</v>
                </pt>
                <pt idx="3">
                  <v>57680.17885714286</v>
                </pt>
                <pt idx="4">
                  <v>45683.56822252747</v>
                </pt>
                <pt idx="5">
                  <v>39486.96958791209</v>
                </pt>
                <pt idx="6">
                  <v>36981.29695329671</v>
                </pt>
                <pt idx="7">
                  <v>33973.46063598902</v>
                </pt>
                <pt idx="8">
                  <v>52905.42000137363</v>
                </pt>
                <pt idx="9">
                  <v>46708.82136675825</v>
                </pt>
                <pt idx="10">
                  <v>47203.14873214287</v>
                </pt>
                <pt idx="11">
                  <v>43650.62409752749</v>
                </pt>
                <pt idx="12">
                  <v>34787.58346291211</v>
                </pt>
                <pt idx="13">
                  <v>36402.13482829672</v>
                </pt>
                <pt idx="14">
                  <v>39896.46219368134</v>
                </pt>
                <pt idx="15">
                  <v>36343.93755906596</v>
                </pt>
                <pt idx="16">
                  <v>59149.08393406596</v>
                </pt>
                <pt idx="17">
                  <v>54245.13921406596</v>
                </pt>
                <pt idx="18">
                  <v>57142.12049406596</v>
                </pt>
                <pt idx="19">
                  <v>48882.24977406596</v>
                </pt>
                <pt idx="20">
                  <v>39106.86305406597</v>
                </pt>
                <pt idx="21">
                  <v>34202.91833406597</v>
                </pt>
                <pt idx="22">
                  <v>37099.89961406597</v>
                </pt>
                <pt idx="23">
                  <v>28840.02889406597</v>
                </pt>
                <pt idx="24">
                  <v>19064.64217406597</v>
                </pt>
                <pt idx="25">
                  <v>24395.91886637366</v>
                </pt>
                <pt idx="26">
                  <v>29308.12155868135</v>
                </pt>
                <pt idx="27">
                  <v>27173.47225098905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88523744"/>
        <axId val="588517984"/>
      </lineChart>
      <catAx>
        <axId val="5885237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C"/>
          </a:p>
        </txPr>
        <crossAx val="588517984"/>
        <crosses val="autoZero"/>
        <auto val="1"/>
        <lblAlgn val="ctr"/>
        <lblOffset val="100"/>
        <noMultiLvlLbl val="0"/>
      </catAx>
      <valAx>
        <axId val="588517984"/>
        <scaling>
          <orientation val="minMax"/>
        </scaling>
        <delete val="0"/>
        <axPos val="l"/>
        <numFmt formatCode="[Blue]&quot;$&quot;#,##0;[Red]&quot;$&quot;\-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C"/>
          </a:p>
        </txPr>
        <crossAx val="58852374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572510969718037"/>
          <y val="0.1294480327055892"/>
          <w val="0.1268651879167695"/>
          <h val="0.0717808459426442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C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Claude espejo</author>
  </authors>
  <commentList>
    <comment ref="B18" authorId="0" shapeId="0">
      <text>
        <t>ESPEJO 26-09-2026: B18, B19 y B21 apuntaban a la hoja oculta 'FLUJO SEMANAL' (versión anterior). Ahora leen 'FLUJO SEMANAL (2)' fila 76, horizonte SEM 37-2026 a SEM 16-2027.</t>
      </text>
    </comment>
  </commentList>
</comments>
</file>

<file path=xl/comments/comment2.xml><?xml version="1.0" encoding="utf-8"?>
<comments xmlns="http://schemas.openxmlformats.org/spreadsheetml/2006/main">
  <authors>
    <author>Claude espejo</author>
  </authors>
  <commentList>
    <comment ref="G8" authorId="0" shapeId="0">
      <text>
        <t>ESPEJO 26-09-2026: desde SEM 40 el ingreso queda vinculado a PARAMETROS fila 15 (curva 10/30/40/20). SEM 37-39 se dejan como estaban (cobros de septiembre por confirmar con el extracto).</t>
      </text>
    </comment>
    <comment ref="T56" authorId="0" shapeId="0">
      <text>
        <t>ESPEJO 26-09-2026: aquí había =SUM(D56:S56) y en U56 =B56-T56: se sumaban como egreso (doble cuenta 3.450). Se ponen en 0; el control está en AJ/AK.</t>
      </text>
    </comment>
    <comment ref="U57" authorId="0" shapeId="0">
      <text>
        <t>ESPEJO 26-09-2026: aquí había =B57-T57 (control). Se deja el valor 2.643,85 para no cambiar la caja: CONFIRMAR semana real de compra de materiales.</t>
      </text>
    </comment>
    <comment ref="AJ62" authorId="0" shapeId="0">
      <text>
        <t>ESPEJO 26-09-2026: AJ62:AJ65 suman desde D: la columna C de estas filas guarda $/m², no dinero ejecutado.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784860</colOff>
      <row>6</row>
      <rowOff>175260</rowOff>
    </from>
    <to>
      <col>12</col>
      <colOff>7620</colOff>
      <row>25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784860</colOff>
      <row>6</row>
      <rowOff>175260</rowOff>
    </from>
    <to>
      <col>12</col>
      <colOff>304800</colOff>
      <row>25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10" defaultColWidth="14.44140625" defaultRowHeight="15" customHeight="1"/>
  <cols>
    <col width="4" customWidth="1" style="134" min="1" max="1"/>
    <col width="55" customWidth="1" style="134" min="2" max="2"/>
    <col width="20" customWidth="1" style="134" min="3" max="5"/>
    <col width="8.88671875" customWidth="1" style="134" min="6" max="26"/>
  </cols>
  <sheetData>
    <row r="1" ht="14.25" customHeight="1" s="134"/>
    <row r="2" ht="14.25" customHeight="1" s="134">
      <c r="B2" s="2" t="inlineStr">
        <is>
          <t>MOBIJUESA S.A. — FLUJO DE CAJA SEMANAL VIVO</t>
        </is>
      </c>
    </row>
    <row r="3" ht="14.25" customHeight="1" s="134">
      <c r="B3" s="8" t="inlineStr">
        <is>
          <t>Proyección semanal SEM 37 a SEM 52 de 2026 (07-sep al 27-dic) — control, gestión y solicitud de fondeo</t>
        </is>
      </c>
    </row>
    <row r="4" ht="14.25" customHeight="1" s="134"/>
    <row r="5" ht="14.25" customHeight="1" s="134">
      <c r="B5" s="5" t="inlineStr">
        <is>
          <t>Corte de datos: 07-sep-2026. Reemplaza en alcance (no en archivo) a 'FLUJO DE CAJA MOBIJUESA - ACTUALIZADO AL 14-AGO-2026.xlsx' — ese archivo queda como historial.</t>
        </is>
      </c>
    </row>
    <row r="6" ht="14.25" customHeight="1" s="134"/>
    <row r="7" ht="14.25" customHeight="1" s="134">
      <c r="B7" s="10" t="inlineStr">
        <is>
          <t>LA CAJA HOY</t>
        </is>
      </c>
    </row>
    <row r="8" ht="14.25" customHeight="1" s="134">
      <c r="B8" s="11" t="inlineStr">
        <is>
          <t>Saldo real de caja — Banco Pichincha, 04-sep-2026 (único banco operado)</t>
        </is>
      </c>
      <c r="C8" s="13" t="n">
        <v>19669.46</v>
      </c>
    </row>
    <row r="9" ht="14.25" customHeight="1" s="134">
      <c r="B9" s="11" t="inlineStr">
        <is>
          <t>Ingreso operativo semanal estimado (promedio real 6 meses, ene-jun 2026)</t>
        </is>
      </c>
      <c r="C9" s="13" t="n">
        <v>6089.59</v>
      </c>
    </row>
    <row r="10" ht="14.25" customHeight="1" s="134">
      <c r="B10" s="11" t="inlineStr">
        <is>
          <t>Egresos fijos semanales identificados por categoría (ver PARAMETROS)</t>
        </is>
      </c>
      <c r="C10" s="13" t="n">
        <v>3818.26</v>
      </c>
    </row>
    <row r="11" ht="14.25" customHeight="1" s="134">
      <c r="B11" s="11" t="inlineStr">
        <is>
          <t>Generación operativa NETA semanal (antes de obra)</t>
        </is>
      </c>
      <c r="C11" s="13" t="n">
        <v>2271.33</v>
      </c>
    </row>
    <row r="12" ht="14.25" customHeight="1" s="134">
      <c r="B12" s="11" t="inlineStr">
        <is>
          <t>Caja mínima de seguridad (1,5× gasto fijo mensual, recalculada por categoría)</t>
        </is>
      </c>
      <c r="C12" s="13" t="n">
        <v>24885.54</v>
      </c>
    </row>
    <row r="13" ht="14.25" customHeight="1" s="134">
      <c r="B13" s="15" t="inlineStr">
        <is>
          <t>Colchón sobre el mínimo, HOY</t>
        </is>
      </c>
      <c r="C13" s="17" t="n">
        <v>-5216.08</v>
      </c>
    </row>
    <row r="14" ht="14.25" customHeight="1" s="134">
      <c r="B14" s="11" t="inlineStr">
        <is>
          <t>Ritmo histórico de gasto en obra (jul-ago 2026)</t>
        </is>
      </c>
      <c r="C14" s="13" t="n">
        <v>10088.13</v>
      </c>
    </row>
    <row r="15" ht="14.25" customHeight="1" s="134"/>
    <row r="16" ht="14.25" customHeight="1" s="134">
      <c r="B16" s="20" t="inlineStr">
        <is>
          <t>HALLAZGO PRINCIPAL DE ESTA ACTUALIZACIÓN</t>
        </is>
      </c>
    </row>
    <row r="17" ht="14.25" customHeight="1" s="134">
      <c r="B17" s="22" t="inlineStr">
        <is>
          <t>Al desagregar los egresos fijos en sus categorías reales (gasto operativo, mantenimiento de</t>
        </is>
      </c>
    </row>
    <row r="18" ht="14.25" customHeight="1" s="134">
      <c r="B18" s="22" t="inlineStr">
        <is>
          <t>bodegas en operación, impuestos/prediales, servicio de deuda, estudios y retiros de socios</t>
        </is>
      </c>
    </row>
    <row r="19" ht="14.25" customHeight="1" s="134">
      <c r="B19" s="22" t="inlineStr">
        <is>
          <t>normalizados) en vez de usar un solo promedio agregado, el gasto fijo mensual real es más alto</t>
        </is>
      </c>
    </row>
    <row r="20" ht="14.25" customHeight="1" s="134">
      <c r="B20" s="22" t="inlineStr">
        <is>
          <t>de lo que se venía usando: $16.590,36/mes en vez de $12.448,23/mes. La caja mínima de seguridad</t>
        </is>
      </c>
    </row>
    <row r="21" ht="14.25" customHeight="1" s="134">
      <c r="B21" s="22" t="inlineStr">
        <is>
          <t>(1,5× ese gasto fijo) sube a $24.885,54 — y la caja real de hoy ($19.669,46) queda POR DEBAJO de</t>
        </is>
      </c>
    </row>
    <row r="22" ht="14.25" customHeight="1" s="134">
      <c r="B22" s="22" t="inlineStr">
        <is>
          <t>ese mínimo: el colchón de seguridad está en NEGATIVO ($5.216,08), no 'casi agotado' como se leía</t>
        </is>
      </c>
    </row>
    <row r="23" ht="14.25" customHeight="1" s="134">
      <c r="B23" s="22" t="inlineStr">
        <is>
          <t>en el corte del 06-sep (colchón positivo de $997,11 en ese momento, con el agregado anterior).</t>
        </is>
      </c>
    </row>
    <row r="24" ht="14.25" customHeight="1" s="134">
      <c r="B24" s="22" t="n"/>
    </row>
    <row r="25" ht="14.25" customHeight="1" s="134">
      <c r="B25" s="22" t="inlineStr">
        <is>
          <t>Esto NO cambia la conclusión de fondo — ya se sabía que la obra corre muy por encima de lo que la</t>
        </is>
      </c>
    </row>
    <row r="26" ht="14.25" customHeight="1" s="134">
      <c r="B26" s="22" t="inlineStr">
        <is>
          <t>operación genera — pero la hace más urgente: hoy, con este criterio más completo, Mobijuesa ya</t>
        </is>
      </c>
    </row>
    <row r="27" ht="14.25" customHeight="1" s="134">
      <c r="B27" s="22" t="inlineStr">
        <is>
          <t>está operando por debajo de su propio piso de seguridad. Ver hoja RESUMEN Y ALERTA.</t>
        </is>
      </c>
    </row>
    <row r="28" ht="14.25" customHeight="1" s="134"/>
    <row r="29" ht="14.25" customHeight="1" s="134">
      <c r="B29" s="10" t="inlineStr">
        <is>
          <t>CÓMO ESTÁ ORGANIZADO ESTE ARCHIVO</t>
        </is>
      </c>
    </row>
    <row r="30" ht="14.25" customHeight="1" s="134">
      <c r="B30" s="28" t="inlineStr">
        <is>
          <t>INSTRUCTIVO CPA — Qué actualizar a diario y a la semana, leyenda de colores, doctrina de gestión, normativa SRI/municipal a tener en cuenta.</t>
        </is>
      </c>
    </row>
    <row r="31" ht="14.25" customHeight="1" s="134">
      <c r="B31" s="28" t="inlineStr">
        <is>
          <t>PARAMETROS — Único lugar donde se editan los supuestos base (ingreso, egresos fijos por categoría, caja mínima, rubros de obra). Todo lo demás se alimenta de aquí con fórmulas.</t>
        </is>
      </c>
    </row>
    <row r="32" ht="14.25" customHeight="1" s="134">
      <c r="B32" s="28" t="inlineStr">
        <is>
          <t>FLUJO SEMANAL — El tablero vivo: saldo, ingresos, egresos fijos, egresos de obra por rubro (repartibles en varias semanas), semáforo y alerta de fondeo a Agroaéreo.</t>
        </is>
      </c>
    </row>
    <row r="33" ht="14.25" customHeight="1" s="134">
      <c r="B33" s="28" t="inlineStr">
        <is>
          <t>RESUMEN Y ALERTA — Vista gerencial: posición de caja, cupo de inversión sostenible, y cuánto y cuándo pedir a Agroaéreo.</t>
        </is>
      </c>
    </row>
    <row r="34" ht="14.25" customHeight="1" s="134"/>
    <row r="35" ht="14.25" customHeight="1" s="134"/>
    <row r="36" ht="14.25" customHeight="1" s="134"/>
    <row r="37" ht="14.25" customHeight="1" s="134"/>
    <row r="38" ht="14.25" customHeight="1" s="134"/>
    <row r="39" ht="14.25" customHeight="1" s="134"/>
    <row r="40" ht="14.25" customHeight="1" s="134"/>
    <row r="41" ht="14.25" customHeight="1" s="134"/>
    <row r="42" ht="14.25" customHeight="1" s="134"/>
    <row r="43" ht="14.25" customHeight="1" s="134"/>
    <row r="44" ht="14.25" customHeight="1" s="134"/>
    <row r="45" ht="14.25" customHeight="1" s="134"/>
    <row r="46" ht="14.25" customHeight="1" s="134"/>
    <row r="47" ht="14.25" customHeight="1" s="134"/>
    <row r="48" ht="14.25" customHeight="1" s="134"/>
    <row r="49" ht="14.25" customHeight="1" s="134"/>
    <row r="50" ht="14.25" customHeight="1" s="134"/>
    <row r="51" ht="14.25" customHeight="1" s="134"/>
    <row r="52" ht="14.25" customHeight="1" s="134"/>
    <row r="53" ht="14.25" customHeight="1" s="134"/>
    <row r="54" ht="14.25" customHeight="1" s="134"/>
    <row r="55" ht="14.25" customHeight="1" s="134"/>
    <row r="56" ht="14.25" customHeight="1" s="134"/>
    <row r="57" ht="14.25" customHeight="1" s="134"/>
    <row r="58" ht="14.25" customHeight="1" s="134"/>
    <row r="59" ht="14.25" customHeight="1" s="134"/>
    <row r="60" ht="14.25" customHeight="1" s="134"/>
    <row r="61" ht="14.25" customHeight="1" s="134"/>
    <row r="62" ht="14.25" customHeight="1" s="134"/>
    <row r="63" ht="14.25" customHeight="1" s="134"/>
    <row r="64" ht="14.25" customHeight="1" s="134"/>
    <row r="65" ht="14.25" customHeight="1" s="134"/>
    <row r="66" ht="14.25" customHeight="1" s="134"/>
    <row r="67" ht="14.25" customHeight="1" s="134"/>
    <row r="68" ht="14.25" customHeight="1" s="134"/>
    <row r="69" ht="14.25" customHeight="1" s="134"/>
    <row r="70" ht="14.25" customHeight="1" s="134"/>
    <row r="71" ht="14.25" customHeight="1" s="134"/>
    <row r="72" ht="14.25" customHeight="1" s="134"/>
    <row r="73" ht="14.25" customHeight="1" s="134"/>
    <row r="74" ht="14.25" customHeight="1" s="134"/>
    <row r="75" ht="14.25" customHeight="1" s="134"/>
    <row r="76" ht="14.25" customHeight="1" s="134"/>
    <row r="77" ht="14.25" customHeight="1" s="134"/>
    <row r="78" ht="14.25" customHeight="1" s="134"/>
    <row r="79" ht="14.25" customHeight="1" s="134"/>
    <row r="80" ht="14.25" customHeight="1" s="134"/>
    <row r="81" ht="14.25" customHeight="1" s="134"/>
    <row r="82" ht="14.25" customHeight="1" s="134"/>
    <row r="83" ht="14.25" customHeight="1" s="134"/>
    <row r="84" ht="14.25" customHeight="1" s="134"/>
    <row r="85" ht="14.25" customHeight="1" s="134"/>
    <row r="86" ht="14.25" customHeight="1" s="134"/>
    <row r="87" ht="14.25" customHeight="1" s="134"/>
    <row r="88" ht="14.25" customHeight="1" s="134"/>
    <row r="89" ht="14.25" customHeight="1" s="134"/>
    <row r="90" ht="14.25" customHeight="1" s="134"/>
    <row r="91" ht="14.25" customHeight="1" s="134"/>
    <row r="92" ht="14.25" customHeight="1" s="134"/>
    <row r="93" ht="14.25" customHeight="1" s="134"/>
    <row r="94" ht="14.25" customHeight="1" s="134"/>
    <row r="95" ht="14.25" customHeight="1" s="134"/>
    <row r="96" ht="14.25" customHeight="1" s="134"/>
    <row r="97" ht="14.25" customHeight="1" s="134"/>
    <row r="98" ht="14.25" customHeight="1" s="134"/>
    <row r="99" ht="14.25" customHeight="1" s="134"/>
    <row r="100" ht="14.25" customHeight="1" s="134"/>
    <row r="101" ht="14.25" customHeight="1" s="134"/>
    <row r="102" ht="14.25" customHeight="1" s="134"/>
    <row r="103" ht="14.25" customHeight="1" s="134"/>
    <row r="104" ht="14.25" customHeight="1" s="134"/>
    <row r="105" ht="14.25" customHeight="1" s="134"/>
    <row r="106" ht="14.25" customHeight="1" s="134"/>
    <row r="107" ht="14.25" customHeight="1" s="134"/>
    <row r="108" ht="14.25" customHeight="1" s="134"/>
    <row r="109" ht="14.25" customHeight="1" s="134"/>
    <row r="110" ht="14.25" customHeight="1" s="134"/>
    <row r="111" ht="14.25" customHeight="1" s="134"/>
    <row r="112" ht="14.25" customHeight="1" s="134"/>
    <row r="113" ht="14.25" customHeight="1" s="134"/>
    <row r="114" ht="14.25" customHeight="1" s="134"/>
    <row r="115" ht="14.25" customHeight="1" s="134"/>
    <row r="116" ht="14.25" customHeight="1" s="134"/>
    <row r="117" ht="14.25" customHeight="1" s="134"/>
    <row r="118" ht="14.25" customHeight="1" s="134"/>
    <row r="119" ht="14.25" customHeight="1" s="134"/>
    <row r="120" ht="14.25" customHeight="1" s="134"/>
    <row r="121" ht="14.25" customHeight="1" s="134"/>
    <row r="122" ht="14.25" customHeight="1" s="134"/>
    <row r="123" ht="14.25" customHeight="1" s="134"/>
    <row r="124" ht="14.25" customHeight="1" s="134"/>
    <row r="125" ht="14.25" customHeight="1" s="134"/>
    <row r="126" ht="14.25" customHeight="1" s="134"/>
    <row r="127" ht="14.25" customHeight="1" s="134"/>
    <row r="128" ht="14.25" customHeight="1" s="134"/>
    <row r="129" ht="14.25" customHeight="1" s="134"/>
    <row r="130" ht="14.25" customHeight="1" s="134"/>
    <row r="131" ht="14.25" customHeight="1" s="134"/>
    <row r="132" ht="14.25" customHeight="1" s="134"/>
    <row r="133" ht="14.25" customHeight="1" s="134"/>
    <row r="134" ht="14.25" customHeight="1" s="134"/>
    <row r="135" ht="14.25" customHeight="1" s="134"/>
    <row r="136" ht="14.25" customHeight="1" s="134"/>
    <row r="137" ht="14.25" customHeight="1" s="134"/>
    <row r="138" ht="14.25" customHeight="1" s="134"/>
    <row r="139" ht="14.25" customHeight="1" s="134"/>
    <row r="140" ht="14.25" customHeight="1" s="134"/>
    <row r="141" ht="14.25" customHeight="1" s="134"/>
    <row r="142" ht="14.25" customHeight="1" s="134"/>
    <row r="143" ht="14.25" customHeight="1" s="134"/>
    <row r="144" ht="14.25" customHeight="1" s="134"/>
    <row r="145" ht="14.25" customHeight="1" s="134"/>
    <row r="146" ht="14.25" customHeight="1" s="134"/>
    <row r="147" ht="14.25" customHeight="1" s="134"/>
    <row r="148" ht="14.25" customHeight="1" s="134"/>
    <row r="149" ht="14.25" customHeight="1" s="134"/>
    <row r="150" ht="14.25" customHeight="1" s="134"/>
    <row r="151" ht="14.25" customHeight="1" s="134"/>
    <row r="152" ht="14.25" customHeight="1" s="134"/>
    <row r="153" ht="14.25" customHeight="1" s="134"/>
    <row r="154" ht="14.25" customHeight="1" s="134"/>
    <row r="155" ht="14.25" customHeight="1" s="134"/>
    <row r="156" ht="14.25" customHeight="1" s="134"/>
    <row r="157" ht="14.25" customHeight="1" s="134"/>
    <row r="158" ht="14.25" customHeight="1" s="134"/>
    <row r="159" ht="14.25" customHeight="1" s="134"/>
    <row r="160" ht="14.25" customHeight="1" s="134"/>
    <row r="161" ht="14.25" customHeight="1" s="134"/>
    <row r="162" ht="14.25" customHeight="1" s="134"/>
    <row r="163" ht="14.25" customHeight="1" s="134"/>
    <row r="164" ht="14.25" customHeight="1" s="134"/>
    <row r="165" ht="14.25" customHeight="1" s="134"/>
    <row r="166" ht="14.25" customHeight="1" s="134"/>
    <row r="167" ht="14.25" customHeight="1" s="134"/>
    <row r="168" ht="14.25" customHeight="1" s="134"/>
    <row r="169" ht="14.25" customHeight="1" s="134"/>
    <row r="170" ht="14.25" customHeight="1" s="134"/>
    <row r="171" ht="14.25" customHeight="1" s="134"/>
    <row r="172" ht="14.25" customHeight="1" s="134"/>
    <row r="173" ht="14.25" customHeight="1" s="134"/>
    <row r="174" ht="14.25" customHeight="1" s="134"/>
    <row r="175" ht="14.25" customHeight="1" s="134"/>
    <row r="176" ht="14.25" customHeight="1" s="134"/>
    <row r="177" ht="14.25" customHeight="1" s="134"/>
    <row r="178" ht="14.25" customHeight="1" s="134"/>
    <row r="179" ht="14.25" customHeight="1" s="134"/>
    <row r="180" ht="14.25" customHeight="1" s="134"/>
    <row r="181" ht="14.25" customHeight="1" s="134"/>
    <row r="182" ht="14.25" customHeight="1" s="134"/>
    <row r="183" ht="14.25" customHeight="1" s="134"/>
    <row r="184" ht="14.25" customHeight="1" s="134"/>
    <row r="185" ht="14.25" customHeight="1" s="134"/>
    <row r="186" ht="14.25" customHeight="1" s="134"/>
    <row r="187" ht="14.25" customHeight="1" s="134"/>
    <row r="188" ht="14.25" customHeight="1" s="134"/>
    <row r="189" ht="14.25" customHeight="1" s="134"/>
    <row r="190" ht="14.25" customHeight="1" s="134"/>
    <row r="191" ht="14.25" customHeight="1" s="134"/>
    <row r="192" ht="14.25" customHeight="1" s="134"/>
    <row r="193" ht="14.25" customHeight="1" s="134"/>
    <row r="194" ht="14.25" customHeight="1" s="134"/>
    <row r="195" ht="14.25" customHeight="1" s="134"/>
    <row r="196" ht="14.25" customHeight="1" s="134"/>
    <row r="197" ht="14.25" customHeight="1" s="134"/>
    <row r="198" ht="14.25" customHeight="1" s="134"/>
    <row r="199" ht="14.25" customHeight="1" s="134"/>
    <row r="200" ht="14.25" customHeight="1" s="134"/>
    <row r="201" ht="14.25" customHeight="1" s="134"/>
    <row r="202" ht="14.25" customHeight="1" s="134"/>
    <row r="203" ht="14.25" customHeight="1" s="134"/>
    <row r="204" ht="14.25" customHeight="1" s="134"/>
    <row r="205" ht="14.25" customHeight="1" s="134"/>
    <row r="206" ht="14.25" customHeight="1" s="134"/>
    <row r="207" ht="14.25" customHeight="1" s="134"/>
    <row r="208" ht="14.25" customHeight="1" s="134"/>
    <row r="209" ht="14.25" customHeight="1" s="134"/>
    <row r="210" ht="14.25" customHeight="1" s="134"/>
    <row r="211" ht="14.25" customHeight="1" s="134"/>
    <row r="212" ht="14.25" customHeight="1" s="134"/>
    <row r="213" ht="14.25" customHeight="1" s="134"/>
    <row r="214" ht="14.25" customHeight="1" s="134"/>
    <row r="215" ht="14.25" customHeight="1" s="134"/>
    <row r="216" ht="14.25" customHeight="1" s="134"/>
    <row r="217" ht="14.25" customHeight="1" s="134"/>
    <row r="218" ht="14.25" customHeight="1" s="134"/>
    <row r="219" ht="14.25" customHeight="1" s="134"/>
    <row r="220" ht="14.25" customHeight="1" s="134"/>
    <row r="221" ht="14.25" customHeight="1" s="134"/>
    <row r="222" ht="14.25" customHeight="1" s="134"/>
    <row r="223" ht="14.25" customHeight="1" s="134"/>
    <row r="224" ht="14.25" customHeight="1" s="134"/>
    <row r="225" ht="14.25" customHeight="1" s="134"/>
    <row r="226" ht="14.25" customHeight="1" s="134"/>
    <row r="227" ht="14.25" customHeight="1" s="134"/>
    <row r="228" ht="14.25" customHeight="1" s="134"/>
    <row r="229" ht="14.25" customHeight="1" s="134"/>
    <row r="230" ht="14.25" customHeight="1" s="134"/>
    <row r="231" ht="14.25" customHeight="1" s="134"/>
    <row r="232" ht="14.25" customHeight="1" s="134"/>
    <row r="233" ht="14.25" customHeight="1" s="134"/>
    <row r="234" ht="14.25" customHeight="1" s="134"/>
    <row r="235" ht="14.25" customHeight="1" s="134"/>
    <row r="236" ht="14.25" customHeight="1" s="134"/>
    <row r="237" ht="14.25" customHeight="1" s="134"/>
    <row r="238" ht="14.25" customHeight="1" s="134"/>
    <row r="239" ht="14.25" customHeight="1" s="134"/>
    <row r="240" ht="14.25" customHeight="1" s="134"/>
    <row r="241" ht="14.25" customHeight="1" s="134"/>
    <row r="242" ht="14.25" customHeight="1" s="134"/>
    <row r="243" ht="14.25" customHeight="1" s="134"/>
    <row r="244" ht="14.25" customHeight="1" s="134"/>
    <row r="245" ht="14.25" customHeight="1" s="134"/>
    <row r="246" ht="14.25" customHeight="1" s="134"/>
    <row r="247" ht="14.25" customHeight="1" s="134"/>
    <row r="248" ht="14.25" customHeight="1" s="134"/>
    <row r="249" ht="14.25" customHeight="1" s="134"/>
    <row r="250" ht="14.25" customHeight="1" s="134"/>
    <row r="251" ht="14.25" customHeight="1" s="134"/>
    <row r="252" ht="14.25" customHeight="1" s="134"/>
    <row r="253" ht="14.25" customHeight="1" s="134"/>
    <row r="254" ht="14.25" customHeight="1" s="134"/>
    <row r="255" ht="14.25" customHeight="1" s="134"/>
    <row r="256" ht="14.25" customHeight="1" s="134"/>
    <row r="257" ht="14.25" customHeight="1" s="134"/>
    <row r="258" ht="14.25" customHeight="1" s="134"/>
    <row r="259" ht="14.25" customHeight="1" s="134"/>
    <row r="260" ht="14.25" customHeight="1" s="134"/>
    <row r="261" ht="14.25" customHeight="1" s="134"/>
    <row r="262" ht="14.25" customHeight="1" s="134"/>
    <row r="263" ht="14.25" customHeight="1" s="134"/>
    <row r="264" ht="14.25" customHeight="1" s="134"/>
    <row r="265" ht="14.25" customHeight="1" s="134"/>
    <row r="266" ht="14.25" customHeight="1" s="134"/>
    <row r="267" ht="14.25" customHeight="1" s="134"/>
    <row r="268" ht="14.25" customHeight="1" s="134"/>
    <row r="269" ht="14.25" customHeight="1" s="134"/>
    <row r="270" ht="14.25" customHeight="1" s="134"/>
    <row r="271" ht="14.25" customHeight="1" s="134"/>
    <row r="272" ht="14.25" customHeight="1" s="134"/>
    <row r="273" ht="14.25" customHeight="1" s="134"/>
    <row r="274" ht="14.25" customHeight="1" s="134"/>
    <row r="275" ht="14.25" customHeight="1" s="134"/>
    <row r="276" ht="14.25" customHeight="1" s="134"/>
    <row r="277" ht="14.25" customHeight="1" s="134"/>
    <row r="278" ht="14.25" customHeight="1" s="134"/>
    <row r="279" ht="14.25" customHeight="1" s="134"/>
    <row r="280" ht="14.25" customHeight="1" s="134"/>
    <row r="281" ht="14.25" customHeight="1" s="134"/>
    <row r="282" ht="14.25" customHeight="1" s="134"/>
    <row r="283" ht="14.25" customHeight="1" s="134"/>
    <row r="284" ht="14.25" customHeight="1" s="134"/>
    <row r="285" ht="14.25" customHeight="1" s="134"/>
    <row r="286" ht="14.25" customHeight="1" s="134"/>
    <row r="287" ht="14.25" customHeight="1" s="134"/>
    <row r="288" ht="14.25" customHeight="1" s="134"/>
    <row r="289" ht="14.25" customHeight="1" s="134"/>
    <row r="290" ht="14.25" customHeight="1" s="134"/>
    <row r="291" ht="14.25" customHeight="1" s="134"/>
    <row r="292" ht="14.25" customHeight="1" s="134"/>
    <row r="293" ht="14.25" customHeight="1" s="134"/>
    <row r="294" ht="14.25" customHeight="1" s="134"/>
    <row r="295" ht="14.25" customHeight="1" s="134"/>
    <row r="296" ht="14.25" customHeight="1" s="134"/>
    <row r="297" ht="14.25" customHeight="1" s="134"/>
    <row r="298" ht="14.25" customHeight="1" s="134"/>
    <row r="299" ht="14.25" customHeight="1" s="134"/>
    <row r="300" ht="14.25" customHeight="1" s="134"/>
    <row r="301" ht="14.25" customHeight="1" s="134"/>
    <row r="302" ht="14.25" customHeight="1" s="134"/>
    <row r="303" ht="14.25" customHeight="1" s="134"/>
    <row r="304" ht="14.25" customHeight="1" s="134"/>
    <row r="305" ht="14.25" customHeight="1" s="134"/>
    <row r="306" ht="14.25" customHeight="1" s="134"/>
    <row r="307" ht="14.25" customHeight="1" s="134"/>
    <row r="308" ht="14.25" customHeight="1" s="134"/>
    <row r="309" ht="14.25" customHeight="1" s="134"/>
    <row r="310" ht="14.25" customHeight="1" s="134"/>
    <row r="311" ht="14.25" customHeight="1" s="134"/>
    <row r="312" ht="14.25" customHeight="1" s="134"/>
    <row r="313" ht="14.25" customHeight="1" s="134"/>
    <row r="314" ht="14.25" customHeight="1" s="134"/>
    <row r="315" ht="14.25" customHeight="1" s="134"/>
    <row r="316" ht="14.25" customHeight="1" s="134"/>
    <row r="317" ht="14.25" customHeight="1" s="134"/>
    <row r="318" ht="14.25" customHeight="1" s="134"/>
    <row r="319" ht="14.25" customHeight="1" s="134"/>
    <row r="320" ht="14.25" customHeight="1" s="134"/>
    <row r="321" ht="14.25" customHeight="1" s="134"/>
    <row r="322" ht="14.25" customHeight="1" s="134"/>
    <row r="323" ht="14.25" customHeight="1" s="134"/>
    <row r="324" ht="14.25" customHeight="1" s="134"/>
    <row r="325" ht="14.25" customHeight="1" s="134"/>
    <row r="326" ht="14.25" customHeight="1" s="134"/>
    <row r="327" ht="14.25" customHeight="1" s="134"/>
    <row r="328" ht="14.25" customHeight="1" s="134"/>
    <row r="329" ht="14.25" customHeight="1" s="134"/>
    <row r="330" ht="14.25" customHeight="1" s="134"/>
    <row r="331" ht="14.25" customHeight="1" s="134"/>
    <row r="332" ht="14.25" customHeight="1" s="134"/>
    <row r="333" ht="14.25" customHeight="1" s="134"/>
    <row r="334" ht="14.25" customHeight="1" s="134"/>
    <row r="335" ht="14.25" customHeight="1" s="134"/>
    <row r="336" ht="14.25" customHeight="1" s="134"/>
    <row r="337" ht="14.25" customHeight="1" s="134"/>
    <row r="338" ht="14.25" customHeight="1" s="134"/>
    <row r="339" ht="14.25" customHeight="1" s="134"/>
    <row r="340" ht="14.25" customHeight="1" s="134"/>
    <row r="341" ht="14.25" customHeight="1" s="134"/>
    <row r="342" ht="14.25" customHeight="1" s="134"/>
    <row r="343" ht="14.25" customHeight="1" s="134"/>
    <row r="344" ht="14.25" customHeight="1" s="134"/>
    <row r="345" ht="14.25" customHeight="1" s="134"/>
    <row r="346" ht="14.25" customHeight="1" s="134"/>
    <row r="347" ht="14.25" customHeight="1" s="134"/>
    <row r="348" ht="14.25" customHeight="1" s="134"/>
    <row r="349" ht="14.25" customHeight="1" s="134"/>
    <row r="350" ht="14.25" customHeight="1" s="134"/>
    <row r="351" ht="14.25" customHeight="1" s="134"/>
    <row r="352" ht="14.25" customHeight="1" s="134"/>
    <row r="353" ht="14.25" customHeight="1" s="134"/>
    <row r="354" ht="14.25" customHeight="1" s="134"/>
    <row r="355" ht="14.25" customHeight="1" s="134"/>
    <row r="356" ht="14.25" customHeight="1" s="134"/>
    <row r="357" ht="14.25" customHeight="1" s="134"/>
    <row r="358" ht="14.25" customHeight="1" s="134"/>
    <row r="359" ht="14.25" customHeight="1" s="134"/>
    <row r="360" ht="14.25" customHeight="1" s="134"/>
    <row r="361" ht="14.25" customHeight="1" s="134"/>
    <row r="362" ht="14.25" customHeight="1" s="134"/>
    <row r="363" ht="14.25" customHeight="1" s="134"/>
    <row r="364" ht="14.25" customHeight="1" s="134"/>
    <row r="365" ht="14.25" customHeight="1" s="134"/>
    <row r="366" ht="14.25" customHeight="1" s="134"/>
    <row r="367" ht="14.25" customHeight="1" s="134"/>
    <row r="368" ht="14.25" customHeight="1" s="134"/>
    <row r="369" ht="14.25" customHeight="1" s="134"/>
    <row r="370" ht="14.25" customHeight="1" s="134"/>
    <row r="371" ht="14.25" customHeight="1" s="134"/>
    <row r="372" ht="14.25" customHeight="1" s="134"/>
    <row r="373" ht="14.25" customHeight="1" s="134"/>
    <row r="374" ht="14.25" customHeight="1" s="134"/>
    <row r="375" ht="14.25" customHeight="1" s="134"/>
    <row r="376" ht="14.25" customHeight="1" s="134"/>
    <row r="377" ht="14.25" customHeight="1" s="134"/>
    <row r="378" ht="14.25" customHeight="1" s="134"/>
    <row r="379" ht="14.25" customHeight="1" s="134"/>
    <row r="380" ht="14.25" customHeight="1" s="134"/>
    <row r="381" ht="14.25" customHeight="1" s="134"/>
    <row r="382" ht="14.25" customHeight="1" s="134"/>
    <row r="383" ht="14.25" customHeight="1" s="134"/>
    <row r="384" ht="14.25" customHeight="1" s="134"/>
    <row r="385" ht="14.25" customHeight="1" s="134"/>
    <row r="386" ht="14.25" customHeight="1" s="134"/>
    <row r="387" ht="14.25" customHeight="1" s="134"/>
    <row r="388" ht="14.25" customHeight="1" s="134"/>
    <row r="389" ht="14.25" customHeight="1" s="134"/>
    <row r="390" ht="14.25" customHeight="1" s="134"/>
    <row r="391" ht="14.25" customHeight="1" s="134"/>
    <row r="392" ht="14.25" customHeight="1" s="134"/>
    <row r="393" ht="14.25" customHeight="1" s="134"/>
    <row r="394" ht="14.25" customHeight="1" s="134"/>
    <row r="395" ht="14.25" customHeight="1" s="134"/>
    <row r="396" ht="14.25" customHeight="1" s="134"/>
    <row r="397" ht="14.25" customHeight="1" s="134"/>
    <row r="398" ht="14.25" customHeight="1" s="134"/>
    <row r="399" ht="14.25" customHeight="1" s="134"/>
    <row r="400" ht="14.25" customHeight="1" s="134"/>
    <row r="401" ht="14.25" customHeight="1" s="134"/>
    <row r="402" ht="14.25" customHeight="1" s="134"/>
    <row r="403" ht="14.25" customHeight="1" s="134"/>
    <row r="404" ht="14.25" customHeight="1" s="134"/>
    <row r="405" ht="14.25" customHeight="1" s="134"/>
    <row r="406" ht="14.25" customHeight="1" s="134"/>
    <row r="407" ht="14.25" customHeight="1" s="134"/>
    <row r="408" ht="14.25" customHeight="1" s="134"/>
    <row r="409" ht="14.25" customHeight="1" s="134"/>
    <row r="410" ht="14.25" customHeight="1" s="134"/>
    <row r="411" ht="14.25" customHeight="1" s="134"/>
    <row r="412" ht="14.25" customHeight="1" s="134"/>
    <row r="413" ht="14.25" customHeight="1" s="134"/>
    <row r="414" ht="14.25" customHeight="1" s="134"/>
    <row r="415" ht="14.25" customHeight="1" s="134"/>
    <row r="416" ht="14.25" customHeight="1" s="134"/>
    <row r="417" ht="14.25" customHeight="1" s="134"/>
    <row r="418" ht="14.25" customHeight="1" s="134"/>
    <row r="419" ht="14.25" customHeight="1" s="134"/>
    <row r="420" ht="14.25" customHeight="1" s="134"/>
    <row r="421" ht="14.25" customHeight="1" s="134"/>
    <row r="422" ht="14.25" customHeight="1" s="134"/>
    <row r="423" ht="14.25" customHeight="1" s="134"/>
    <row r="424" ht="14.25" customHeight="1" s="134"/>
    <row r="425" ht="14.25" customHeight="1" s="134"/>
    <row r="426" ht="14.25" customHeight="1" s="134"/>
    <row r="427" ht="14.25" customHeight="1" s="134"/>
    <row r="428" ht="14.25" customHeight="1" s="134"/>
    <row r="429" ht="14.25" customHeight="1" s="134"/>
    <row r="430" ht="14.25" customHeight="1" s="134"/>
    <row r="431" ht="14.25" customHeight="1" s="134"/>
    <row r="432" ht="14.25" customHeight="1" s="134"/>
    <row r="433" ht="14.25" customHeight="1" s="134"/>
    <row r="434" ht="14.25" customHeight="1" s="134"/>
    <row r="435" ht="14.25" customHeight="1" s="134"/>
    <row r="436" ht="14.25" customHeight="1" s="134"/>
    <row r="437" ht="14.25" customHeight="1" s="134"/>
    <row r="438" ht="14.25" customHeight="1" s="134"/>
    <row r="439" ht="14.25" customHeight="1" s="134"/>
    <row r="440" ht="14.25" customHeight="1" s="134"/>
    <row r="441" ht="14.25" customHeight="1" s="134"/>
    <row r="442" ht="14.25" customHeight="1" s="134"/>
    <row r="443" ht="14.25" customHeight="1" s="134"/>
    <row r="444" ht="14.25" customHeight="1" s="134"/>
    <row r="445" ht="14.25" customHeight="1" s="134"/>
    <row r="446" ht="14.25" customHeight="1" s="134"/>
    <row r="447" ht="14.25" customHeight="1" s="134"/>
    <row r="448" ht="14.25" customHeight="1" s="134"/>
    <row r="449" ht="14.25" customHeight="1" s="134"/>
    <row r="450" ht="14.25" customHeight="1" s="134"/>
    <row r="451" ht="14.25" customHeight="1" s="134"/>
    <row r="452" ht="14.25" customHeight="1" s="134"/>
    <row r="453" ht="14.25" customHeight="1" s="134"/>
    <row r="454" ht="14.25" customHeight="1" s="134"/>
    <row r="455" ht="14.25" customHeight="1" s="134"/>
    <row r="456" ht="14.25" customHeight="1" s="134"/>
    <row r="457" ht="14.25" customHeight="1" s="134"/>
    <row r="458" ht="14.25" customHeight="1" s="134"/>
    <row r="459" ht="14.25" customHeight="1" s="134"/>
    <row r="460" ht="14.25" customHeight="1" s="134"/>
    <row r="461" ht="14.25" customHeight="1" s="134"/>
    <row r="462" ht="14.25" customHeight="1" s="134"/>
    <row r="463" ht="14.25" customHeight="1" s="134"/>
    <row r="464" ht="14.25" customHeight="1" s="134"/>
    <row r="465" ht="14.25" customHeight="1" s="134"/>
    <row r="466" ht="14.25" customHeight="1" s="134"/>
    <row r="467" ht="14.25" customHeight="1" s="134"/>
    <row r="468" ht="14.25" customHeight="1" s="134"/>
    <row r="469" ht="14.25" customHeight="1" s="134"/>
    <row r="470" ht="14.25" customHeight="1" s="134"/>
    <row r="471" ht="14.25" customHeight="1" s="134"/>
    <row r="472" ht="14.25" customHeight="1" s="134"/>
    <row r="473" ht="14.25" customHeight="1" s="134"/>
    <row r="474" ht="14.25" customHeight="1" s="134"/>
    <row r="475" ht="14.25" customHeight="1" s="134"/>
    <row r="476" ht="14.25" customHeight="1" s="134"/>
    <row r="477" ht="14.25" customHeight="1" s="134"/>
    <row r="478" ht="14.25" customHeight="1" s="134"/>
    <row r="479" ht="14.25" customHeight="1" s="134"/>
    <row r="480" ht="14.25" customHeight="1" s="134"/>
    <row r="481" ht="14.25" customHeight="1" s="134"/>
    <row r="482" ht="14.25" customHeight="1" s="134"/>
    <row r="483" ht="14.25" customHeight="1" s="134"/>
    <row r="484" ht="14.25" customHeight="1" s="134"/>
    <row r="485" ht="14.25" customHeight="1" s="134"/>
    <row r="486" ht="14.25" customHeight="1" s="134"/>
    <row r="487" ht="14.25" customHeight="1" s="134"/>
    <row r="488" ht="14.25" customHeight="1" s="134"/>
    <row r="489" ht="14.25" customHeight="1" s="134"/>
    <row r="490" ht="14.25" customHeight="1" s="134"/>
    <row r="491" ht="14.25" customHeight="1" s="134"/>
    <row r="492" ht="14.25" customHeight="1" s="134"/>
    <row r="493" ht="14.25" customHeight="1" s="134"/>
    <row r="494" ht="14.25" customHeight="1" s="134"/>
    <row r="495" ht="14.25" customHeight="1" s="134"/>
    <row r="496" ht="14.25" customHeight="1" s="134"/>
    <row r="497" ht="14.25" customHeight="1" s="134"/>
    <row r="498" ht="14.25" customHeight="1" s="134"/>
    <row r="499" ht="14.25" customHeight="1" s="134"/>
    <row r="500" ht="14.25" customHeight="1" s="134"/>
    <row r="501" ht="14.25" customHeight="1" s="134"/>
    <row r="502" ht="14.25" customHeight="1" s="134"/>
    <row r="503" ht="14.25" customHeight="1" s="134"/>
    <row r="504" ht="14.25" customHeight="1" s="134"/>
    <row r="505" ht="14.25" customHeight="1" s="134"/>
    <row r="506" ht="14.25" customHeight="1" s="134"/>
    <row r="507" ht="14.25" customHeight="1" s="134"/>
    <row r="508" ht="14.25" customHeight="1" s="134"/>
    <row r="509" ht="14.25" customHeight="1" s="134"/>
    <row r="510" ht="14.25" customHeight="1" s="134"/>
    <row r="511" ht="14.25" customHeight="1" s="134"/>
    <row r="512" ht="14.25" customHeight="1" s="134"/>
    <row r="513" ht="14.25" customHeight="1" s="134"/>
    <row r="514" ht="14.25" customHeight="1" s="134"/>
    <row r="515" ht="14.25" customHeight="1" s="134"/>
    <row r="516" ht="14.25" customHeight="1" s="134"/>
    <row r="517" ht="14.25" customHeight="1" s="134"/>
    <row r="518" ht="14.25" customHeight="1" s="134"/>
    <row r="519" ht="14.25" customHeight="1" s="134"/>
    <row r="520" ht="14.25" customHeight="1" s="134"/>
    <row r="521" ht="14.25" customHeight="1" s="134"/>
    <row r="522" ht="14.25" customHeight="1" s="134"/>
    <row r="523" ht="14.25" customHeight="1" s="134"/>
    <row r="524" ht="14.25" customHeight="1" s="134"/>
    <row r="525" ht="14.25" customHeight="1" s="134"/>
    <row r="526" ht="14.25" customHeight="1" s="134"/>
    <row r="527" ht="14.25" customHeight="1" s="134"/>
    <row r="528" ht="14.25" customHeight="1" s="134"/>
    <row r="529" ht="14.25" customHeight="1" s="134"/>
    <row r="530" ht="14.25" customHeight="1" s="134"/>
    <row r="531" ht="14.25" customHeight="1" s="134"/>
    <row r="532" ht="14.25" customHeight="1" s="134"/>
    <row r="533" ht="14.25" customHeight="1" s="134"/>
    <row r="534" ht="14.25" customHeight="1" s="134"/>
    <row r="535" ht="14.25" customHeight="1" s="134"/>
    <row r="536" ht="14.25" customHeight="1" s="134"/>
    <row r="537" ht="14.25" customHeight="1" s="134"/>
    <row r="538" ht="14.25" customHeight="1" s="134"/>
    <row r="539" ht="14.25" customHeight="1" s="134"/>
    <row r="540" ht="14.25" customHeight="1" s="134"/>
    <row r="541" ht="14.25" customHeight="1" s="134"/>
    <row r="542" ht="14.25" customHeight="1" s="134"/>
    <row r="543" ht="14.25" customHeight="1" s="134"/>
    <row r="544" ht="14.25" customHeight="1" s="134"/>
    <row r="545" ht="14.25" customHeight="1" s="134"/>
    <row r="546" ht="14.25" customHeight="1" s="134"/>
    <row r="547" ht="14.25" customHeight="1" s="134"/>
    <row r="548" ht="14.25" customHeight="1" s="134"/>
    <row r="549" ht="14.25" customHeight="1" s="134"/>
    <row r="550" ht="14.25" customHeight="1" s="134"/>
    <row r="551" ht="14.25" customHeight="1" s="134"/>
    <row r="552" ht="14.25" customHeight="1" s="134"/>
    <row r="553" ht="14.25" customHeight="1" s="134"/>
    <row r="554" ht="14.25" customHeight="1" s="134"/>
    <row r="555" ht="14.25" customHeight="1" s="134"/>
    <row r="556" ht="14.25" customHeight="1" s="134"/>
    <row r="557" ht="14.25" customHeight="1" s="134"/>
    <row r="558" ht="14.25" customHeight="1" s="134"/>
    <row r="559" ht="14.25" customHeight="1" s="134"/>
    <row r="560" ht="14.25" customHeight="1" s="134"/>
    <row r="561" ht="14.25" customHeight="1" s="134"/>
    <row r="562" ht="14.25" customHeight="1" s="134"/>
    <row r="563" ht="14.25" customHeight="1" s="134"/>
    <row r="564" ht="14.25" customHeight="1" s="134"/>
    <row r="565" ht="14.25" customHeight="1" s="134"/>
    <row r="566" ht="14.25" customHeight="1" s="134"/>
    <row r="567" ht="14.25" customHeight="1" s="134"/>
    <row r="568" ht="14.25" customHeight="1" s="134"/>
    <row r="569" ht="14.25" customHeight="1" s="134"/>
    <row r="570" ht="14.25" customHeight="1" s="134"/>
    <row r="571" ht="14.25" customHeight="1" s="134"/>
    <row r="572" ht="14.25" customHeight="1" s="134"/>
    <row r="573" ht="14.25" customHeight="1" s="134"/>
    <row r="574" ht="14.25" customHeight="1" s="134"/>
    <row r="575" ht="14.25" customHeight="1" s="134"/>
    <row r="576" ht="14.25" customHeight="1" s="134"/>
    <row r="577" ht="14.25" customHeight="1" s="134"/>
    <row r="578" ht="14.25" customHeight="1" s="134"/>
    <row r="579" ht="14.25" customHeight="1" s="134"/>
    <row r="580" ht="14.25" customHeight="1" s="134"/>
    <row r="581" ht="14.25" customHeight="1" s="134"/>
    <row r="582" ht="14.25" customHeight="1" s="134"/>
    <row r="583" ht="14.25" customHeight="1" s="134"/>
    <row r="584" ht="14.25" customHeight="1" s="134"/>
    <row r="585" ht="14.25" customHeight="1" s="134"/>
    <row r="586" ht="14.25" customHeight="1" s="134"/>
    <row r="587" ht="14.25" customHeight="1" s="134"/>
    <row r="588" ht="14.25" customHeight="1" s="134"/>
    <row r="589" ht="14.25" customHeight="1" s="134"/>
    <row r="590" ht="14.25" customHeight="1" s="134"/>
    <row r="591" ht="14.25" customHeight="1" s="134"/>
    <row r="592" ht="14.25" customHeight="1" s="134"/>
    <row r="593" ht="14.25" customHeight="1" s="134"/>
    <row r="594" ht="14.25" customHeight="1" s="134"/>
    <row r="595" ht="14.25" customHeight="1" s="134"/>
    <row r="596" ht="14.25" customHeight="1" s="134"/>
    <row r="597" ht="14.25" customHeight="1" s="134"/>
    <row r="598" ht="14.25" customHeight="1" s="134"/>
    <row r="599" ht="14.25" customHeight="1" s="134"/>
    <row r="600" ht="14.25" customHeight="1" s="134"/>
    <row r="601" ht="14.25" customHeight="1" s="134"/>
    <row r="602" ht="14.25" customHeight="1" s="134"/>
    <row r="603" ht="14.25" customHeight="1" s="134"/>
    <row r="604" ht="14.25" customHeight="1" s="134"/>
    <row r="605" ht="14.25" customHeight="1" s="134"/>
    <row r="606" ht="14.25" customHeight="1" s="134"/>
    <row r="607" ht="14.25" customHeight="1" s="134"/>
    <row r="608" ht="14.25" customHeight="1" s="134"/>
    <row r="609" ht="14.25" customHeight="1" s="134"/>
    <row r="610" ht="14.25" customHeight="1" s="134"/>
    <row r="611" ht="14.25" customHeight="1" s="134"/>
    <row r="612" ht="14.25" customHeight="1" s="134"/>
    <row r="613" ht="14.25" customHeight="1" s="134"/>
    <row r="614" ht="14.25" customHeight="1" s="134"/>
    <row r="615" ht="14.25" customHeight="1" s="134"/>
    <row r="616" ht="14.25" customHeight="1" s="134"/>
    <row r="617" ht="14.25" customHeight="1" s="134"/>
    <row r="618" ht="14.25" customHeight="1" s="134"/>
    <row r="619" ht="14.25" customHeight="1" s="134"/>
    <row r="620" ht="14.25" customHeight="1" s="134"/>
    <row r="621" ht="14.25" customHeight="1" s="134"/>
    <row r="622" ht="14.25" customHeight="1" s="134"/>
    <row r="623" ht="14.25" customHeight="1" s="134"/>
    <row r="624" ht="14.25" customHeight="1" s="134"/>
    <row r="625" ht="14.25" customHeight="1" s="134"/>
    <row r="626" ht="14.25" customHeight="1" s="134"/>
    <row r="627" ht="14.25" customHeight="1" s="134"/>
    <row r="628" ht="14.25" customHeight="1" s="134"/>
    <row r="629" ht="14.25" customHeight="1" s="134"/>
    <row r="630" ht="14.25" customHeight="1" s="134"/>
    <row r="631" ht="14.25" customHeight="1" s="134"/>
    <row r="632" ht="14.25" customHeight="1" s="134"/>
    <row r="633" ht="14.25" customHeight="1" s="134"/>
    <row r="634" ht="14.25" customHeight="1" s="134"/>
    <row r="635" ht="14.25" customHeight="1" s="134"/>
    <row r="636" ht="14.25" customHeight="1" s="134"/>
    <row r="637" ht="14.25" customHeight="1" s="134"/>
    <row r="638" ht="14.25" customHeight="1" s="134"/>
    <row r="639" ht="14.25" customHeight="1" s="134"/>
    <row r="640" ht="14.25" customHeight="1" s="134"/>
    <row r="641" ht="14.25" customHeight="1" s="134"/>
    <row r="642" ht="14.25" customHeight="1" s="134"/>
    <row r="643" ht="14.25" customHeight="1" s="134"/>
    <row r="644" ht="14.25" customHeight="1" s="134"/>
    <row r="645" ht="14.25" customHeight="1" s="134"/>
    <row r="646" ht="14.25" customHeight="1" s="134"/>
    <row r="647" ht="14.25" customHeight="1" s="134"/>
    <row r="648" ht="14.25" customHeight="1" s="134"/>
    <row r="649" ht="14.25" customHeight="1" s="134"/>
    <row r="650" ht="14.25" customHeight="1" s="134"/>
    <row r="651" ht="14.25" customHeight="1" s="134"/>
    <row r="652" ht="14.25" customHeight="1" s="134"/>
    <row r="653" ht="14.25" customHeight="1" s="134"/>
    <row r="654" ht="14.25" customHeight="1" s="134"/>
    <row r="655" ht="14.25" customHeight="1" s="134"/>
    <row r="656" ht="14.25" customHeight="1" s="134"/>
    <row r="657" ht="14.25" customHeight="1" s="134"/>
    <row r="658" ht="14.25" customHeight="1" s="134"/>
    <row r="659" ht="14.25" customHeight="1" s="134"/>
    <row r="660" ht="14.25" customHeight="1" s="134"/>
    <row r="661" ht="14.25" customHeight="1" s="134"/>
    <row r="662" ht="14.25" customHeight="1" s="134"/>
    <row r="663" ht="14.25" customHeight="1" s="134"/>
    <row r="664" ht="14.25" customHeight="1" s="134"/>
    <row r="665" ht="14.25" customHeight="1" s="134"/>
    <row r="666" ht="14.25" customHeight="1" s="134"/>
    <row r="667" ht="14.25" customHeight="1" s="134"/>
    <row r="668" ht="14.25" customHeight="1" s="134"/>
    <row r="669" ht="14.25" customHeight="1" s="134"/>
    <row r="670" ht="14.25" customHeight="1" s="134"/>
    <row r="671" ht="14.25" customHeight="1" s="134"/>
    <row r="672" ht="14.25" customHeight="1" s="134"/>
    <row r="673" ht="14.25" customHeight="1" s="134"/>
    <row r="674" ht="14.25" customHeight="1" s="134"/>
    <row r="675" ht="14.25" customHeight="1" s="134"/>
    <row r="676" ht="14.25" customHeight="1" s="134"/>
    <row r="677" ht="14.25" customHeight="1" s="134"/>
    <row r="678" ht="14.25" customHeight="1" s="134"/>
    <row r="679" ht="14.25" customHeight="1" s="134"/>
    <row r="680" ht="14.25" customHeight="1" s="134"/>
    <row r="681" ht="14.25" customHeight="1" s="134"/>
    <row r="682" ht="14.25" customHeight="1" s="134"/>
    <row r="683" ht="14.25" customHeight="1" s="134"/>
    <row r="684" ht="14.25" customHeight="1" s="134"/>
    <row r="685" ht="14.25" customHeight="1" s="134"/>
    <row r="686" ht="14.25" customHeight="1" s="134"/>
    <row r="687" ht="14.25" customHeight="1" s="134"/>
    <row r="688" ht="14.25" customHeight="1" s="134"/>
    <row r="689" ht="14.25" customHeight="1" s="134"/>
    <row r="690" ht="14.25" customHeight="1" s="134"/>
    <row r="691" ht="14.25" customHeight="1" s="134"/>
    <row r="692" ht="14.25" customHeight="1" s="134"/>
    <row r="693" ht="14.25" customHeight="1" s="134"/>
    <row r="694" ht="14.25" customHeight="1" s="134"/>
    <row r="695" ht="14.25" customHeight="1" s="134"/>
    <row r="696" ht="14.25" customHeight="1" s="134"/>
    <row r="697" ht="14.25" customHeight="1" s="134"/>
    <row r="698" ht="14.25" customHeight="1" s="134"/>
    <row r="699" ht="14.25" customHeight="1" s="134"/>
    <row r="700" ht="14.25" customHeight="1" s="134"/>
    <row r="701" ht="14.25" customHeight="1" s="134"/>
    <row r="702" ht="14.25" customHeight="1" s="134"/>
    <row r="703" ht="14.25" customHeight="1" s="134"/>
    <row r="704" ht="14.25" customHeight="1" s="134"/>
    <row r="705" ht="14.25" customHeight="1" s="134"/>
    <row r="706" ht="14.25" customHeight="1" s="134"/>
    <row r="707" ht="14.25" customHeight="1" s="134"/>
    <row r="708" ht="14.25" customHeight="1" s="134"/>
    <row r="709" ht="14.25" customHeight="1" s="134"/>
    <row r="710" ht="14.25" customHeight="1" s="134"/>
    <row r="711" ht="14.25" customHeight="1" s="134"/>
    <row r="712" ht="14.25" customHeight="1" s="134"/>
    <row r="713" ht="14.25" customHeight="1" s="134"/>
    <row r="714" ht="14.25" customHeight="1" s="134"/>
    <row r="715" ht="14.25" customHeight="1" s="134"/>
    <row r="716" ht="14.25" customHeight="1" s="134"/>
    <row r="717" ht="14.25" customHeight="1" s="134"/>
    <row r="718" ht="14.25" customHeight="1" s="134"/>
    <row r="719" ht="14.25" customHeight="1" s="134"/>
    <row r="720" ht="14.25" customHeight="1" s="134"/>
    <row r="721" ht="14.25" customHeight="1" s="134"/>
    <row r="722" ht="14.25" customHeight="1" s="134"/>
    <row r="723" ht="14.25" customHeight="1" s="134"/>
    <row r="724" ht="14.25" customHeight="1" s="134"/>
    <row r="725" ht="14.25" customHeight="1" s="134"/>
    <row r="726" ht="14.25" customHeight="1" s="134"/>
    <row r="727" ht="14.25" customHeight="1" s="134"/>
    <row r="728" ht="14.25" customHeight="1" s="134"/>
    <row r="729" ht="14.25" customHeight="1" s="134"/>
    <row r="730" ht="14.25" customHeight="1" s="134"/>
    <row r="731" ht="14.25" customHeight="1" s="134"/>
    <row r="732" ht="14.25" customHeight="1" s="134"/>
    <row r="733" ht="14.25" customHeight="1" s="134"/>
    <row r="734" ht="14.25" customHeight="1" s="134"/>
    <row r="735" ht="14.25" customHeight="1" s="134"/>
    <row r="736" ht="14.25" customHeight="1" s="134"/>
    <row r="737" ht="14.25" customHeight="1" s="134"/>
    <row r="738" ht="14.25" customHeight="1" s="134"/>
    <row r="739" ht="14.25" customHeight="1" s="134"/>
    <row r="740" ht="14.25" customHeight="1" s="134"/>
    <row r="741" ht="14.25" customHeight="1" s="134"/>
    <row r="742" ht="14.25" customHeight="1" s="134"/>
    <row r="743" ht="14.25" customHeight="1" s="134"/>
    <row r="744" ht="14.25" customHeight="1" s="134"/>
    <row r="745" ht="14.25" customHeight="1" s="134"/>
    <row r="746" ht="14.25" customHeight="1" s="134"/>
    <row r="747" ht="14.25" customHeight="1" s="134"/>
    <row r="748" ht="14.25" customHeight="1" s="134"/>
    <row r="749" ht="14.25" customHeight="1" s="134"/>
    <row r="750" ht="14.25" customHeight="1" s="134"/>
    <row r="751" ht="14.25" customHeight="1" s="134"/>
    <row r="752" ht="14.25" customHeight="1" s="134"/>
    <row r="753" ht="14.25" customHeight="1" s="134"/>
    <row r="754" ht="14.25" customHeight="1" s="134"/>
    <row r="755" ht="14.25" customHeight="1" s="134"/>
    <row r="756" ht="14.25" customHeight="1" s="134"/>
    <row r="757" ht="14.25" customHeight="1" s="134"/>
    <row r="758" ht="14.25" customHeight="1" s="134"/>
    <row r="759" ht="14.25" customHeight="1" s="134"/>
    <row r="760" ht="14.25" customHeight="1" s="134"/>
    <row r="761" ht="14.25" customHeight="1" s="134"/>
    <row r="762" ht="14.25" customHeight="1" s="134"/>
    <row r="763" ht="14.25" customHeight="1" s="134"/>
    <row r="764" ht="14.25" customHeight="1" s="134"/>
    <row r="765" ht="14.25" customHeight="1" s="134"/>
    <row r="766" ht="14.25" customHeight="1" s="134"/>
    <row r="767" ht="14.25" customHeight="1" s="134"/>
    <row r="768" ht="14.25" customHeight="1" s="134"/>
    <row r="769" ht="14.25" customHeight="1" s="134"/>
    <row r="770" ht="14.25" customHeight="1" s="134"/>
    <row r="771" ht="14.25" customHeight="1" s="134"/>
    <row r="772" ht="14.25" customHeight="1" s="134"/>
    <row r="773" ht="14.25" customHeight="1" s="134"/>
    <row r="774" ht="14.25" customHeight="1" s="134"/>
    <row r="775" ht="14.25" customHeight="1" s="134"/>
    <row r="776" ht="14.25" customHeight="1" s="134"/>
    <row r="777" ht="14.25" customHeight="1" s="134"/>
    <row r="778" ht="14.25" customHeight="1" s="134"/>
    <row r="779" ht="14.25" customHeight="1" s="134"/>
    <row r="780" ht="14.25" customHeight="1" s="134"/>
    <row r="781" ht="14.25" customHeight="1" s="134"/>
    <row r="782" ht="14.25" customHeight="1" s="134"/>
    <row r="783" ht="14.25" customHeight="1" s="134"/>
    <row r="784" ht="14.25" customHeight="1" s="134"/>
    <row r="785" ht="14.25" customHeight="1" s="134"/>
    <row r="786" ht="14.25" customHeight="1" s="134"/>
    <row r="787" ht="14.25" customHeight="1" s="134"/>
    <row r="788" ht="14.25" customHeight="1" s="134"/>
    <row r="789" ht="14.25" customHeight="1" s="134"/>
    <row r="790" ht="14.25" customHeight="1" s="134"/>
    <row r="791" ht="14.25" customHeight="1" s="134"/>
    <row r="792" ht="14.25" customHeight="1" s="134"/>
    <row r="793" ht="14.25" customHeight="1" s="134"/>
    <row r="794" ht="14.25" customHeight="1" s="134"/>
    <row r="795" ht="14.25" customHeight="1" s="134"/>
    <row r="796" ht="14.25" customHeight="1" s="134"/>
    <row r="797" ht="14.25" customHeight="1" s="134"/>
    <row r="798" ht="14.25" customHeight="1" s="134"/>
    <row r="799" ht="14.25" customHeight="1" s="134"/>
    <row r="800" ht="14.25" customHeight="1" s="134"/>
    <row r="801" ht="14.25" customHeight="1" s="134"/>
    <row r="802" ht="14.25" customHeight="1" s="134"/>
    <row r="803" ht="14.25" customHeight="1" s="134"/>
    <row r="804" ht="14.25" customHeight="1" s="134"/>
    <row r="805" ht="14.25" customHeight="1" s="134"/>
    <row r="806" ht="14.25" customHeight="1" s="134"/>
    <row r="807" ht="14.25" customHeight="1" s="134"/>
    <row r="808" ht="14.25" customHeight="1" s="134"/>
    <row r="809" ht="14.25" customHeight="1" s="134"/>
    <row r="810" ht="14.25" customHeight="1" s="134"/>
    <row r="811" ht="14.25" customHeight="1" s="134"/>
    <row r="812" ht="14.25" customHeight="1" s="134"/>
    <row r="813" ht="14.25" customHeight="1" s="134"/>
    <row r="814" ht="14.25" customHeight="1" s="134"/>
    <row r="815" ht="14.25" customHeight="1" s="134"/>
    <row r="816" ht="14.25" customHeight="1" s="134"/>
    <row r="817" ht="14.25" customHeight="1" s="134"/>
    <row r="818" ht="14.25" customHeight="1" s="134"/>
    <row r="819" ht="14.25" customHeight="1" s="134"/>
    <row r="820" ht="14.25" customHeight="1" s="134"/>
    <row r="821" ht="14.25" customHeight="1" s="134"/>
    <row r="822" ht="14.25" customHeight="1" s="134"/>
    <row r="823" ht="14.25" customHeight="1" s="134"/>
    <row r="824" ht="14.25" customHeight="1" s="134"/>
    <row r="825" ht="14.25" customHeight="1" s="134"/>
    <row r="826" ht="14.25" customHeight="1" s="134"/>
    <row r="827" ht="14.25" customHeight="1" s="134"/>
    <row r="828" ht="14.25" customHeight="1" s="134"/>
    <row r="829" ht="14.25" customHeight="1" s="134"/>
    <row r="830" ht="14.25" customHeight="1" s="134"/>
    <row r="831" ht="14.25" customHeight="1" s="134"/>
    <row r="832" ht="14.25" customHeight="1" s="134"/>
    <row r="833" ht="14.25" customHeight="1" s="134"/>
    <row r="834" ht="14.25" customHeight="1" s="134"/>
    <row r="835" ht="14.25" customHeight="1" s="134"/>
    <row r="836" ht="14.25" customHeight="1" s="134"/>
    <row r="837" ht="14.25" customHeight="1" s="134"/>
    <row r="838" ht="14.25" customHeight="1" s="134"/>
    <row r="839" ht="14.25" customHeight="1" s="134"/>
    <row r="840" ht="14.25" customHeight="1" s="134"/>
    <row r="841" ht="14.25" customHeight="1" s="134"/>
    <row r="842" ht="14.25" customHeight="1" s="134"/>
    <row r="843" ht="14.25" customHeight="1" s="134"/>
    <row r="844" ht="14.25" customHeight="1" s="134"/>
    <row r="845" ht="14.25" customHeight="1" s="134"/>
    <row r="846" ht="14.25" customHeight="1" s="134"/>
    <row r="847" ht="14.25" customHeight="1" s="134"/>
    <row r="848" ht="14.25" customHeight="1" s="134"/>
    <row r="849" ht="14.25" customHeight="1" s="134"/>
    <row r="850" ht="14.25" customHeight="1" s="134"/>
    <row r="851" ht="14.25" customHeight="1" s="134"/>
    <row r="852" ht="14.25" customHeight="1" s="134"/>
    <row r="853" ht="14.25" customHeight="1" s="134"/>
    <row r="854" ht="14.25" customHeight="1" s="134"/>
    <row r="855" ht="14.25" customHeight="1" s="134"/>
    <row r="856" ht="14.25" customHeight="1" s="134"/>
    <row r="857" ht="14.25" customHeight="1" s="134"/>
    <row r="858" ht="14.25" customHeight="1" s="134"/>
    <row r="859" ht="14.25" customHeight="1" s="134"/>
    <row r="860" ht="14.25" customHeight="1" s="134"/>
    <row r="861" ht="14.25" customHeight="1" s="134"/>
    <row r="862" ht="14.25" customHeight="1" s="134"/>
    <row r="863" ht="14.25" customHeight="1" s="134"/>
    <row r="864" ht="14.25" customHeight="1" s="134"/>
    <row r="865" ht="14.25" customHeight="1" s="134"/>
    <row r="866" ht="14.25" customHeight="1" s="134"/>
    <row r="867" ht="14.25" customHeight="1" s="134"/>
    <row r="868" ht="14.25" customHeight="1" s="134"/>
    <row r="869" ht="14.25" customHeight="1" s="134"/>
    <row r="870" ht="14.25" customHeight="1" s="134"/>
    <row r="871" ht="14.25" customHeight="1" s="134"/>
    <row r="872" ht="14.25" customHeight="1" s="134"/>
    <row r="873" ht="14.25" customHeight="1" s="134"/>
    <row r="874" ht="14.25" customHeight="1" s="134"/>
    <row r="875" ht="14.25" customHeight="1" s="134"/>
    <row r="876" ht="14.25" customHeight="1" s="134"/>
    <row r="877" ht="14.25" customHeight="1" s="134"/>
    <row r="878" ht="14.25" customHeight="1" s="134"/>
    <row r="879" ht="14.25" customHeight="1" s="134"/>
    <row r="880" ht="14.25" customHeight="1" s="134"/>
    <row r="881" ht="14.25" customHeight="1" s="134"/>
    <row r="882" ht="14.25" customHeight="1" s="134"/>
    <row r="883" ht="14.25" customHeight="1" s="134"/>
    <row r="884" ht="14.25" customHeight="1" s="134"/>
    <row r="885" ht="14.25" customHeight="1" s="134"/>
    <row r="886" ht="14.25" customHeight="1" s="134"/>
    <row r="887" ht="14.25" customHeight="1" s="134"/>
    <row r="888" ht="14.25" customHeight="1" s="134"/>
    <row r="889" ht="14.25" customHeight="1" s="134"/>
    <row r="890" ht="14.25" customHeight="1" s="134"/>
    <row r="891" ht="14.25" customHeight="1" s="134"/>
    <row r="892" ht="14.25" customHeight="1" s="134"/>
    <row r="893" ht="14.25" customHeight="1" s="134"/>
    <row r="894" ht="14.25" customHeight="1" s="134"/>
    <row r="895" ht="14.25" customHeight="1" s="134"/>
    <row r="896" ht="14.25" customHeight="1" s="134"/>
    <row r="897" ht="14.25" customHeight="1" s="134"/>
    <row r="898" ht="14.25" customHeight="1" s="134"/>
    <row r="899" ht="14.25" customHeight="1" s="134"/>
    <row r="900" ht="14.25" customHeight="1" s="134"/>
    <row r="901" ht="14.25" customHeight="1" s="134"/>
    <row r="902" ht="14.25" customHeight="1" s="134"/>
    <row r="903" ht="14.25" customHeight="1" s="134"/>
    <row r="904" ht="14.25" customHeight="1" s="134"/>
    <row r="905" ht="14.25" customHeight="1" s="134"/>
    <row r="906" ht="14.25" customHeight="1" s="134"/>
    <row r="907" ht="14.25" customHeight="1" s="134"/>
    <row r="908" ht="14.25" customHeight="1" s="134"/>
    <row r="909" ht="14.25" customHeight="1" s="134"/>
    <row r="910" ht="14.25" customHeight="1" s="134"/>
    <row r="911" ht="14.25" customHeight="1" s="134"/>
    <row r="912" ht="14.25" customHeight="1" s="134"/>
    <row r="913" ht="14.25" customHeight="1" s="134"/>
    <row r="914" ht="14.25" customHeight="1" s="134"/>
    <row r="915" ht="14.25" customHeight="1" s="134"/>
    <row r="916" ht="14.25" customHeight="1" s="134"/>
    <row r="917" ht="14.25" customHeight="1" s="134"/>
    <row r="918" ht="14.25" customHeight="1" s="134"/>
    <row r="919" ht="14.25" customHeight="1" s="134"/>
    <row r="920" ht="14.25" customHeight="1" s="134"/>
    <row r="921" ht="14.25" customHeight="1" s="134"/>
    <row r="922" ht="14.25" customHeight="1" s="134"/>
    <row r="923" ht="14.25" customHeight="1" s="134"/>
    <row r="924" ht="14.25" customHeight="1" s="134"/>
    <row r="925" ht="14.25" customHeight="1" s="134"/>
    <row r="926" ht="14.25" customHeight="1" s="134"/>
    <row r="927" ht="14.25" customHeight="1" s="134"/>
    <row r="928" ht="14.25" customHeight="1" s="134"/>
    <row r="929" ht="14.25" customHeight="1" s="134"/>
    <row r="930" ht="14.25" customHeight="1" s="134"/>
    <row r="931" ht="14.25" customHeight="1" s="134"/>
    <row r="932" ht="14.25" customHeight="1" s="134"/>
    <row r="933" ht="14.25" customHeight="1" s="134"/>
    <row r="934" ht="14.25" customHeight="1" s="134"/>
    <row r="935" ht="14.25" customHeight="1" s="134"/>
    <row r="936" ht="14.25" customHeight="1" s="134"/>
    <row r="937" ht="14.25" customHeight="1" s="134"/>
    <row r="938" ht="14.25" customHeight="1" s="134"/>
    <row r="939" ht="14.25" customHeight="1" s="134"/>
    <row r="940" ht="14.25" customHeight="1" s="134"/>
    <row r="941" ht="14.25" customHeight="1" s="134"/>
    <row r="942" ht="14.25" customHeight="1" s="134"/>
    <row r="943" ht="14.25" customHeight="1" s="134"/>
    <row r="944" ht="14.25" customHeight="1" s="134"/>
    <row r="945" ht="14.25" customHeight="1" s="134"/>
    <row r="946" ht="14.25" customHeight="1" s="134"/>
    <row r="947" ht="14.25" customHeight="1" s="134"/>
    <row r="948" ht="14.25" customHeight="1" s="134"/>
    <row r="949" ht="14.25" customHeight="1" s="134"/>
    <row r="950" ht="14.25" customHeight="1" s="134"/>
    <row r="951" ht="14.25" customHeight="1" s="134"/>
    <row r="952" ht="14.25" customHeight="1" s="134"/>
    <row r="953" ht="14.25" customHeight="1" s="134"/>
    <row r="954" ht="14.25" customHeight="1" s="134"/>
    <row r="955" ht="14.25" customHeight="1" s="134"/>
    <row r="956" ht="14.25" customHeight="1" s="134"/>
    <row r="957" ht="14.25" customHeight="1" s="134"/>
    <row r="958" ht="14.25" customHeight="1" s="134"/>
    <row r="959" ht="14.25" customHeight="1" s="134"/>
    <row r="960" ht="14.25" customHeight="1" s="134"/>
    <row r="961" ht="14.25" customHeight="1" s="134"/>
    <row r="962" ht="14.25" customHeight="1" s="134"/>
    <row r="963" ht="14.25" customHeight="1" s="134"/>
    <row r="964" ht="14.25" customHeight="1" s="134"/>
    <row r="965" ht="14.25" customHeight="1" s="134"/>
    <row r="966" ht="14.25" customHeight="1" s="134"/>
    <row r="967" ht="14.25" customHeight="1" s="134"/>
    <row r="968" ht="14.25" customHeight="1" s="134"/>
    <row r="969" ht="14.25" customHeight="1" s="134"/>
    <row r="970" ht="14.25" customHeight="1" s="134"/>
    <row r="971" ht="14.25" customHeight="1" s="134"/>
    <row r="972" ht="14.25" customHeight="1" s="134"/>
    <row r="973" ht="14.25" customHeight="1" s="134"/>
    <row r="974" ht="14.25" customHeight="1" s="134"/>
    <row r="975" ht="14.25" customHeight="1" s="134"/>
    <row r="976" ht="14.25" customHeight="1" s="134"/>
    <row r="977" ht="14.25" customHeight="1" s="134"/>
    <row r="978" ht="14.25" customHeight="1" s="134"/>
    <row r="979" ht="14.25" customHeight="1" s="134"/>
    <row r="980" ht="14.25" customHeight="1" s="134"/>
    <row r="981" ht="14.25" customHeight="1" s="134"/>
    <row r="982" ht="14.25" customHeight="1" s="134"/>
    <row r="983" ht="14.25" customHeight="1" s="134"/>
    <row r="984" ht="14.25" customHeight="1" s="134"/>
    <row r="985" ht="14.25" customHeight="1" s="134"/>
    <row r="986" ht="14.25" customHeight="1" s="134"/>
    <row r="987" ht="14.25" customHeight="1" s="134"/>
    <row r="988" ht="14.25" customHeight="1" s="134"/>
    <row r="989" ht="14.25" customHeight="1" s="134"/>
    <row r="990" ht="14.25" customHeight="1" s="134"/>
    <row r="991" ht="14.25" customHeight="1" s="134"/>
    <row r="992" ht="14.25" customHeight="1" s="134"/>
    <row r="993" ht="14.25" customHeight="1" s="134"/>
    <row r="994" ht="14.25" customHeight="1" s="134"/>
    <row r="995" ht="14.25" customHeight="1" s="134"/>
    <row r="996" ht="14.25" customHeight="1" s="134"/>
    <row r="997" ht="14.25" customHeight="1" s="134"/>
    <row r="998" ht="14.25" customHeight="1" s="134"/>
    <row r="999" ht="14.25" customHeight="1" s="134"/>
    <row r="1000" ht="14.25" customHeight="1" s="13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B2:B97"/>
  <sheetViews>
    <sheetView showGridLines="0" workbookViewId="0">
      <selection activeCell="A1" sqref="A1"/>
    </sheetView>
  </sheetViews>
  <sheetFormatPr baseColWidth="10" defaultColWidth="14.44140625" defaultRowHeight="15" customHeight="1"/>
  <cols>
    <col width="3" customWidth="1" style="134" min="1" max="1"/>
    <col width="100" customWidth="1" style="134" min="2" max="2"/>
    <col width="8.88671875" customWidth="1" style="134" min="3" max="26"/>
  </cols>
  <sheetData>
    <row r="1" ht="14.25" customHeight="1" s="134"/>
    <row r="2" ht="14.25" customHeight="1" s="134">
      <c r="B2" s="1" t="inlineStr">
        <is>
          <t>INSTRUCTIVO PARA QUIEN ALIMENTA ESTE ARCHIVO (CPA / CONTABILIDAD)</t>
        </is>
      </c>
    </row>
    <row r="3" ht="14.25" customHeight="1" s="134"/>
    <row r="4" ht="14.25" customHeight="1" s="134">
      <c r="B4" s="4" t="inlineStr">
        <is>
          <t>1. QUÉ ACTUALIZAR CADA DÍA</t>
        </is>
      </c>
    </row>
    <row r="5" ht="14.25" customHeight="1" s="134">
      <c r="B5" s="7" t="inlineStr">
        <is>
          <t>• Revise el movimiento bancario del día en el Banco Pichincha (única cuenta operada).</t>
        </is>
      </c>
    </row>
    <row r="6" ht="14.25" customHeight="1" s="134">
      <c r="B6" s="7" t="inlineStr">
        <is>
          <t>• Si hubo un COBRO de cliente, súmelo a 'Ingreso operativo estimado' de la semana en curso en la</t>
        </is>
      </c>
    </row>
    <row r="7" ht="14.25" customHeight="1" s="134">
      <c r="B7" s="7" t="inlineStr">
        <is>
          <t xml:space="preserve">  hoja FLUJO SEMANAL — reemplace la fórmula por el valor real acumulado de la semana cuando la</t>
        </is>
      </c>
    </row>
    <row r="8" ht="14.25" customHeight="1" s="134">
      <c r="B8" s="7" t="inlineStr">
        <is>
          <t xml:space="preserve">  semana cierre (viernes), o llévelo como acumulado si prefiere verlo día a día.</t>
        </is>
      </c>
    </row>
    <row r="9" ht="14.25" customHeight="1" s="134">
      <c r="B9" s="7" t="inlineStr">
        <is>
          <t>• Si hubo un PAGO, identifique primero si es un rubro de OBRA (bodegas, materiales, mano de obra,</t>
        </is>
      </c>
    </row>
    <row r="10" ht="14.25" customHeight="1" s="134">
      <c r="B10" s="7" t="inlineStr">
        <is>
          <t xml:space="preserve">  adoquinado) o un gasto FIJO (nómina, cuota de crédito, energía, alícuota, impuesto, retiro de</t>
        </is>
      </c>
    </row>
    <row r="11" ht="14.25" customHeight="1" s="134">
      <c r="B11" s="7" t="inlineStr">
        <is>
          <t xml:space="preserve">  socio). Regístrelo en la fila correspondiente de la semana correcta en FLUJO SEMANAL.</t>
        </is>
      </c>
    </row>
    <row r="12" ht="14.25" customHeight="1" s="134">
      <c r="B12" s="7" t="inlineStr">
        <is>
          <t>• Un pago de obra que se sabe de antemano (por ejemplo, un anticipo pactado a 3 semanas) puede</t>
        </is>
      </c>
    </row>
    <row r="13" ht="14.25" customHeight="1" s="134">
      <c r="B13" s="7" t="inlineStr">
        <is>
          <t xml:space="preserve">  escribirse HOY mismo en la semana futura que corresponda — así el saldo proyectado ya lo incluye</t>
        </is>
      </c>
    </row>
    <row r="14" ht="14.25" customHeight="1" s="134">
      <c r="B14" s="7" t="inlineStr">
        <is>
          <t xml:space="preserve">  antes de que se pague, que es justamente el objetivo de este archivo.</t>
        </is>
      </c>
    </row>
    <row r="15" ht="14.25" customHeight="1" s="134"/>
    <row r="16" ht="14.25" customHeight="1" s="134">
      <c r="B16" s="4" t="inlineStr">
        <is>
          <t>2. QUÉ REVISAR CADA SEMANA (viernes o lunes)</t>
        </is>
      </c>
    </row>
    <row r="17" ht="14.25" customHeight="1" s="134">
      <c r="B17" s="7" t="inlineStr">
        <is>
          <t>• Compare el saldo final REAL del banco contra el saldo final PROYECTADO de esa semana en la hoja</t>
        </is>
      </c>
    </row>
    <row r="18" ht="14.25" customHeight="1" s="134">
      <c r="B18" s="7" t="inlineStr">
        <is>
          <t xml:space="preserve">  FLUJO SEMANAL. Si difieren en más de $500, revise qué movimiento no se registró.</t>
        </is>
      </c>
    </row>
    <row r="19" ht="14.25" customHeight="1" s="134">
      <c r="B19" s="7" t="inlineStr">
        <is>
          <t>• Revise la fila 'ESTADO DE LA SEMANA': 🟢 OK, 🟠 ALERTA (por debajo de la caja mínima) o 🔴</t>
        </is>
      </c>
    </row>
    <row r="20" ht="14.25" customHeight="1" s="134">
      <c r="B20" s="7" t="inlineStr">
        <is>
          <t xml:space="preserve">  NEGATIVO (saldo proyectado negativo).</t>
        </is>
      </c>
    </row>
    <row r="21" ht="14.25" customHeight="1" s="134">
      <c r="B21" s="7" t="inlineStr">
        <is>
          <t>• Revise la fila '➤ ACCIÓN: SOLICITAR A AGROAÉREO ESTA SEMANA'. Si dice 'Pedir $X', ese es el</t>
        </is>
      </c>
    </row>
    <row r="22" ht="14.25" customHeight="1" s="134">
      <c r="B22" s="7" t="inlineStr">
        <is>
          <t xml:space="preserve">  momento de escribir o llamar a Agroaéreo — el fondo tarda 7 días como mínimo en llegar, así que</t>
        </is>
      </c>
    </row>
    <row r="23" ht="14.25" customHeight="1" s="134">
      <c r="B23" s="7" t="inlineStr">
        <is>
          <t xml:space="preserve">  la alerta ya está calculada mirando la semana SIGUIENTE, no la actual. Si se espera a que la</t>
        </is>
      </c>
    </row>
    <row r="24" ht="14.25" customHeight="1" s="134">
      <c r="B24" s="7" t="inlineStr">
        <is>
          <t xml:space="preserve">  semana actual esté en rojo, ya es tarde.</t>
        </is>
      </c>
    </row>
    <row r="25" ht="14.25" customHeight="1" s="134">
      <c r="B25" s="7" t="inlineStr">
        <is>
          <t>• Reparta en la matriz de OBRA los pagos de la próxima semana entre los rubros pendientes, respetando</t>
        </is>
      </c>
    </row>
    <row r="26" ht="14.25" customHeight="1" s="134">
      <c r="B26" s="7" t="inlineStr">
        <is>
          <t xml:space="preserve">  la columna 'DIFERENCIA' de cada rubro: debe tender a cero a medida que se programa todo el rubro.</t>
        </is>
      </c>
    </row>
    <row r="27" ht="14.25" customHeight="1" s="134">
      <c r="B27" s="7" t="inlineStr">
        <is>
          <t>• Si aparece un rubro de obra nuevo (por ejemplo, un frente de trabajo que no estaba en la lista),</t>
        </is>
      </c>
    </row>
    <row r="28" ht="14.25" customHeight="1" s="134">
      <c r="B28" s="7" t="inlineStr">
        <is>
          <t xml:space="preserve">  use una de las filas en blanco marcadas '(nuevo rubro de obra…)' — escriba el nombre en la</t>
        </is>
      </c>
    </row>
    <row r="29" ht="14.25" customHeight="1" s="134">
      <c r="B29" s="7" t="inlineStr">
        <is>
          <t xml:space="preserve">  columna A y el monto total pendiente en la columna B (TOTAL/META); desde ahí ya calcula solo.</t>
        </is>
      </c>
    </row>
    <row r="30" ht="14.25" customHeight="1" s="134"/>
    <row r="31" ht="14.25" customHeight="1" s="134">
      <c r="B31" s="4" t="inlineStr">
        <is>
          <t>3. LEYENDA DE COLORES</t>
        </is>
      </c>
    </row>
    <row r="32" ht="14.25" customHeight="1" s="134">
      <c r="B32" s="19" t="inlineStr">
        <is>
          <t>🟢 Verde — saldo proyectado por encima de la caja mínima de seguridad.</t>
        </is>
      </c>
    </row>
    <row r="33" ht="14.25" customHeight="1" s="134">
      <c r="B33" s="21" t="inlineStr">
        <is>
          <t>🟠 Amarillo/naranja — saldo positivo pero por debajo del mínimo: zona de tensión, no es una emergencia todavía.</t>
        </is>
      </c>
    </row>
    <row r="34" ht="14.25" customHeight="1" s="134">
      <c r="B34" s="23" t="inlineStr">
        <is>
          <t>🔴 Rojo — saldo proyectado negativo: ya se necesitaba el fondeo la semana anterior.</t>
        </is>
      </c>
    </row>
    <row r="35" ht="14.25" customHeight="1" s="134">
      <c r="B35" s="26" t="inlineStr">
        <is>
          <t>Celda con fondo crema — casilla en blanco lista para que usted escriba un dato real (ingreso extra, nuevo rubro).</t>
        </is>
      </c>
    </row>
    <row r="36" ht="14.25" customHeight="1" s="134"/>
    <row r="37" ht="14.25" customHeight="1" s="134">
      <c r="B37" s="4" t="inlineStr">
        <is>
          <t>4. DOCTRINA DE GESTIÓN DE FLUJO QUE SIGUE ESTE ARCHIVO</t>
        </is>
      </c>
    </row>
    <row r="38" ht="14.25" customHeight="1" s="134">
      <c r="B38" s="27" t="inlineStr">
        <is>
          <t>Basado en la publicación de Juan Ramiro Tovar sobre gestión del flujo de caja (LinkedIn, guardada por el usuario) — seis frentes que este archivo cubre explícitamente:</t>
        </is>
      </c>
    </row>
    <row r="39" ht="14.25" customHeight="1" s="134">
      <c r="B39" s="7" t="inlineStr">
        <is>
          <t>1. Planificación del flujo de caja — proyección semanal hasta SEM 52 (esta hoja).</t>
        </is>
      </c>
    </row>
    <row r="40" ht="14.25" customHeight="1" s="134">
      <c r="B40" s="7" t="inlineStr">
        <is>
          <t>2. Cuentas por cobrar — el ingreso operativo estimado depende de que los cobros de arriendo se</t>
        </is>
      </c>
    </row>
    <row r="41" ht="14.25" customHeight="1" s="134">
      <c r="B41" s="7" t="inlineStr">
        <is>
          <t xml:space="preserve">   posteen a tiempo; no deje cobros sin registrar más de una semana.</t>
        </is>
      </c>
    </row>
    <row r="42" ht="14.25" customHeight="1" s="134">
      <c r="B42" s="7" t="inlineStr">
        <is>
          <t>3. Control de gastos — separación de egresos fijos por categoría y de obra por rubro.</t>
        </is>
      </c>
    </row>
    <row r="43" ht="14.25" customHeight="1" s="134">
      <c r="B43" s="7" t="inlineStr">
        <is>
          <t>4. Cuentas por pagar — negocie plazo con proveedores de obra (ejemplo: material de adoquinado a</t>
        </is>
      </c>
    </row>
    <row r="44" ht="14.25" customHeight="1" s="134">
      <c r="B44" s="7" t="inlineStr">
        <is>
          <t xml:space="preserve">   30-60-90 días) antes de comprometer caja propia; reprograme el rubro en la matriz si lo logra.</t>
        </is>
      </c>
    </row>
    <row r="45" ht="14.25" customHeight="1" s="134">
      <c r="B45" s="7" t="inlineStr">
        <is>
          <t>5. Optimización de capital de trabajo — la caja mínima de seguridad (1,5× gasto fijo mensual) y la</t>
        </is>
      </c>
    </row>
    <row r="46" ht="14.25" customHeight="1" s="134">
      <c r="B46" s="7" t="inlineStr">
        <is>
          <t xml:space="preserve">   alerta de fondeo con 7 días de anticipación son el mecanismo de reserva y línea de respaldo.</t>
        </is>
      </c>
    </row>
    <row r="47" ht="14.25" customHeight="1" s="134">
      <c r="B47" s="7" t="inlineStr">
        <is>
          <t>6. Monitoreo regular — revisión semanal obligatoria (punto 2 de este instructivo).</t>
        </is>
      </c>
    </row>
    <row r="48" ht="14.25" customHeight="1" s="134">
      <c r="B48" s="7" t="n"/>
    </row>
    <row r="49" ht="14.25" customHeight="1" s="134">
      <c r="B49" s="7" t="inlineStr">
        <is>
          <t>Tres categorías de actividad de caja a tener en mente al clasificar un movimiento nuevo:</t>
        </is>
      </c>
    </row>
    <row r="50" ht="14.25" customHeight="1" s="134">
      <c r="B50" s="7" t="inlineStr">
        <is>
          <t>• Operación: cobros de arriendo, nómina, impuestos, gasto administrativo.</t>
        </is>
      </c>
    </row>
    <row r="51" ht="14.25" customHeight="1" s="134">
      <c r="B51" s="7" t="inlineStr">
        <is>
          <t>• Financiamiento: aportes de Agroaéreo, cuotas de préstamos (Cooperativa La Nuestra).</t>
        </is>
      </c>
    </row>
    <row r="52" ht="14.25" customHeight="1" s="134">
      <c r="B52" s="7" t="inlineStr">
        <is>
          <t>• Inversión: obra nueva (construcción de bodegas, adoquinado, 400 m² nuevos).</t>
        </is>
      </c>
    </row>
    <row r="53" ht="14.25" customHeight="1" s="134">
      <c r="B53" s="7" t="n"/>
    </row>
    <row r="54" ht="14.25" customHeight="1" s="134">
      <c r="B54" s="7" t="inlineStr">
        <is>
          <t>Idea clave del mismo post, y la más importante para todo el equipo, no solo para quien lleva este</t>
        </is>
      </c>
    </row>
    <row r="55" ht="14.25" customHeight="1" s="134">
      <c r="B55" s="7" t="inlineStr">
        <is>
          <t>archivo: 'la crisis de caja no se origina solo en Finanzas — las decisiones de Ventas, Compras y</t>
        </is>
      </c>
    </row>
    <row r="56" ht="14.25" customHeight="1" s="134">
      <c r="B56" s="7" t="inlineStr">
        <is>
          <t>Operaciones determinan juntas el resultado de liquidez.' Si Obra compromete un pago sin avisar,</t>
        </is>
      </c>
    </row>
    <row r="57" ht="14.25" customHeight="1" s="134">
      <c r="B57" s="7" t="inlineStr">
        <is>
          <t>este archivo deja de servir por más actualizado que esté.</t>
        </is>
      </c>
    </row>
    <row r="58" ht="14.25" customHeight="1" s="134"/>
    <row r="59" ht="14.25" customHeight="1" s="134">
      <c r="B59" s="4" t="inlineStr">
        <is>
          <t>5. CRITERIOS DE BANCABILIDAD APLICADOS (skill interna bancabilidad-matriz-cuatro-bloques)</t>
        </is>
      </c>
    </row>
    <row r="60" ht="14.25" customHeight="1" s="134">
      <c r="B60" s="7" t="inlineStr">
        <is>
          <t>• Matriz de 4 bloques (Altimira): Liquidez, Apalancamiento, Cobertura y Estructura de deuda — un</t>
        </is>
      </c>
    </row>
    <row r="61" ht="14.25" customHeight="1" s="134">
      <c r="B61" s="7" t="inlineStr">
        <is>
          <t xml:space="preserve">  solo bloque roto (aquí, Cobertura: el ritmo de obra supera la generación operativa) reclasifica</t>
        </is>
      </c>
    </row>
    <row r="62" ht="14.25" customHeight="1" s="134">
      <c r="B62" s="7" t="inlineStr">
        <is>
          <t xml:space="preserve">  todo el perfil, aunque el negocio siga siendo rentable en el papel.</t>
        </is>
      </c>
    </row>
    <row r="63" ht="14.25" customHeight="1" s="134">
      <c r="B63" s="7" t="inlineStr">
        <is>
          <t>• Regla de Zevallos: 'las ventas no pagan los préstamos' — aplicada aquí como 'las rentas de bodega</t>
        </is>
      </c>
    </row>
    <row r="64" ht="14.25" customHeight="1" s="134">
      <c r="B64" s="7" t="inlineStr">
        <is>
          <t xml:space="preserve">  no pagan el ritmo de obra actual' si no hay financiamiento externo puntual.</t>
        </is>
      </c>
    </row>
    <row r="65" ht="14.25" customHeight="1" s="134">
      <c r="B65" s="7" t="inlineStr">
        <is>
          <t>• Tablero de 8 indicadores (Cardona): revisar mensualmente, además de este semanal, los indicadores</t>
        </is>
      </c>
    </row>
    <row r="66" ht="14.25" customHeight="1" s="134">
      <c r="B66" s="7" t="inlineStr">
        <is>
          <t xml:space="preserve">  de rentabilidad, cobertura y estructura del libro de bancabilidad general de la empresa.</t>
        </is>
      </c>
    </row>
    <row r="67" ht="14.25" customHeight="1" s="134"/>
    <row r="68" ht="14.25" customHeight="1" s="134">
      <c r="B68" s="32" t="inlineStr">
        <is>
          <t>6. CONSIDERACIONES NORMATIVAS (Ecuador / SRI / municipal) — buenas prácticas de caja, no asesoría tributaria formal</t>
        </is>
      </c>
    </row>
    <row r="69" ht="14.25" customHeight="1" s="134">
      <c r="B69" s="7" t="inlineStr">
        <is>
          <t>🚦 Esta sección orienta el CALENDARIO de caja; no reemplaza al contador o asesor tributario para la</t>
        </is>
      </c>
    </row>
    <row r="70" ht="14.25" customHeight="1" s="134">
      <c r="B70" s="7" t="inlineStr">
        <is>
          <t xml:space="preserve">   determinación exacta de cada obligación de Mobijuesa S.A.</t>
        </is>
      </c>
    </row>
    <row r="71" ht="14.25" customHeight="1" s="134">
      <c r="B71" s="7" t="inlineStr">
        <is>
          <t>• Retenciones en la fuente de IR (Formulario 103) y de IVA: se declaran y pagan mensualmente al SRI,</t>
        </is>
      </c>
    </row>
    <row r="72" ht="14.25" customHeight="1" s="134">
      <c r="B72" s="7" t="inlineStr">
        <is>
          <t xml:space="preserve">  dentro del plazo que corresponde al noveno dígito del RUC — resérvelo como salida de caja fija,</t>
        </is>
      </c>
    </row>
    <row r="73" ht="14.25" customHeight="1" s="134">
      <c r="B73" s="7" t="inlineStr">
        <is>
          <t xml:space="preserve">  no como sorpresa de fin de mes.</t>
        </is>
      </c>
    </row>
    <row r="74" ht="14.25" customHeight="1" s="134">
      <c r="B74" s="7" t="inlineStr">
        <is>
          <t>• IVA (Formulario 104): declaración mensual para la generalidad de sociedades; verificar con el</t>
        </is>
      </c>
    </row>
    <row r="75" ht="14.25" customHeight="1" s="134">
      <c r="B75" s="7" t="inlineStr">
        <is>
          <t xml:space="preserve">  contador si aplica algún régimen especial a Mobijuesa.</t>
        </is>
      </c>
    </row>
    <row r="76" ht="14.25" customHeight="1" s="134">
      <c r="B76" s="7" t="inlineStr">
        <is>
          <t>• Anticipo de Impuesto a la Renta (sociedades): se paga en cuotas a mediados de año (julio y</t>
        </is>
      </c>
    </row>
    <row r="77" ht="14.25" customHeight="1" s="134">
      <c r="B77" s="7" t="inlineStr">
        <is>
          <t xml:space="preserve">  septiembre, según el calendario vigente del SRI) — planifique estas fechas en la fila de</t>
        </is>
      </c>
    </row>
    <row r="78" ht="14.25" customHeight="1" s="134">
      <c r="B78" s="7" t="inlineStr">
        <is>
          <t xml:space="preserve">  'Impuestos, prediales y gastos bancarios' con antelación, no cuando ya vence.</t>
        </is>
      </c>
    </row>
    <row r="79" ht="14.25" customHeight="1" s="134">
      <c r="B79" s="7" t="inlineStr">
        <is>
          <t>• Impuesto Predial (COOTAD, GAD municipal): pago con descuento de enero a marzo, sin descuento</t>
        </is>
      </c>
    </row>
    <row r="80" ht="14.25" customHeight="1" s="134">
      <c r="B80" s="7" t="inlineStr">
        <is>
          <t xml:space="preserve">  hasta junio, con recargo después — es la explicación real de por qué esta categoría fue alta en</t>
        </is>
      </c>
    </row>
    <row r="81" ht="14.25" customHeight="1" s="134">
      <c r="B81" s="7" t="inlineStr">
        <is>
          <t xml:space="preserve">  el primer trimestre de 2026 en el histórico de este archivo.</t>
        </is>
      </c>
    </row>
    <row r="82" ht="14.25" customHeight="1" s="134">
      <c r="B82" s="7" t="inlineStr">
        <is>
          <t>• Aportes al IESS (patronal y personal): se pagan hasta el día 15 del mes siguiente al que</t>
        </is>
      </c>
    </row>
    <row r="83" ht="14.25" customHeight="1" s="134">
      <c r="B83" s="7" t="inlineStr">
        <is>
          <t xml:space="preserve">  corresponden — inclúyalos dentro de 'Gasto operativo y administrativo' si no están ya reflejados.</t>
        </is>
      </c>
    </row>
    <row r="84" ht="14.25" customHeight="1" s="134">
      <c r="B84" s="7" t="inlineStr">
        <is>
          <t>• Comprobantes de venta y retención: consérvelos (físicos o electrónicos) por 7 años, plazo general</t>
        </is>
      </c>
    </row>
    <row r="85" ht="14.25" customHeight="1" s="134">
      <c r="B85" s="7" t="inlineStr">
        <is>
          <t xml:space="preserve">  de la normativa tributaria ecuatoriana — relevante para sustentar cualquier anticipo o reembolso</t>
        </is>
      </c>
    </row>
    <row r="86" ht="14.25" customHeight="1" s="134">
      <c r="B86" s="7" t="inlineStr">
        <is>
          <t xml:space="preserve">  que hoy se registra en el Libro Bancos como 'ANT#' y debe cerrarse después con factura.</t>
        </is>
      </c>
    </row>
    <row r="87" ht="14.25" customHeight="1" s="134">
      <c r="B87" s="7" t="inlineStr">
        <is>
          <t>• Todo anticipo (ANT#) que quede abierto más de 30-60 días sin la factura de respaldo es un riesgo</t>
        </is>
      </c>
    </row>
    <row r="88" ht="14.25" customHeight="1" s="134">
      <c r="B88" s="7" t="inlineStr">
        <is>
          <t xml:space="preserve">  de deducibilidad del gasto ante el SRI, además de un riesgo de control interno — revíselos junto</t>
        </is>
      </c>
    </row>
    <row r="89" ht="14.25" customHeight="1" s="134">
      <c r="B89" s="7" t="inlineStr">
        <is>
          <t xml:space="preserve">  con este flujo, no por separado.</t>
        </is>
      </c>
    </row>
    <row r="90" ht="14.25" customHeight="1" s="134"/>
    <row r="91" ht="14.25" customHeight="1" s="134">
      <c r="B91" s="4" t="inlineStr">
        <is>
          <t>7. QUÉ NO HACER</t>
        </is>
      </c>
    </row>
    <row r="92" ht="14.25" customHeight="1" s="134">
      <c r="B92" s="7" t="inlineStr">
        <is>
          <t>• No borre las fórmulas de PARAMETROS para 'ajustar' un número — cambie el valor base ahí y deje</t>
        </is>
      </c>
    </row>
    <row r="93" ht="14.25" customHeight="1" s="134">
      <c r="B93" s="7" t="inlineStr">
        <is>
          <t xml:space="preserve">  que el resto del archivo recalcule solo.</t>
        </is>
      </c>
    </row>
    <row r="94" ht="14.25" customHeight="1" s="134">
      <c r="B94" s="7" t="inlineStr">
        <is>
          <t>• No mueva ni elimine columnas de semana; si el año cambia de fase, pida que se genere una versión</t>
        </is>
      </c>
    </row>
    <row r="95" ht="14.25" customHeight="1" s="134">
      <c r="B95" s="7" t="inlineStr">
        <is>
          <t xml:space="preserve">  nueva del archivo con el mismo formato.</t>
        </is>
      </c>
    </row>
    <row r="96" ht="14.25" customHeight="1" s="134">
      <c r="B96" s="7" t="inlineStr">
        <is>
          <t>• No dependa solo del semáforo: si el saldo real diario ya se ve ajustado, avise aunque la semana</t>
        </is>
      </c>
    </row>
    <row r="97" ht="14.25" customHeight="1" s="134">
      <c r="B97" s="7" t="inlineStr">
        <is>
          <t xml:space="preserve">  todavía marque verde — el semáforo es semanal, la caja se mueve a diario.</t>
        </is>
      </c>
    </row>
    <row r="98" ht="14.25" customHeight="1" s="134"/>
    <row r="99" ht="14.25" customHeight="1" s="134"/>
    <row r="100" ht="14.25" customHeight="1" s="134"/>
    <row r="101" ht="14.25" customHeight="1" s="134"/>
    <row r="102" ht="14.25" customHeight="1" s="134"/>
    <row r="103" ht="14.25" customHeight="1" s="134"/>
    <row r="104" ht="14.25" customHeight="1" s="134"/>
    <row r="105" ht="14.25" customHeight="1" s="134"/>
    <row r="106" ht="14.25" customHeight="1" s="134"/>
    <row r="107" ht="14.25" customHeight="1" s="134"/>
    <row r="108" ht="14.25" customHeight="1" s="134"/>
    <row r="109" ht="14.25" customHeight="1" s="134"/>
    <row r="110" ht="14.25" customHeight="1" s="134"/>
    <row r="111" ht="14.25" customHeight="1" s="134"/>
    <row r="112" ht="14.25" customHeight="1" s="134"/>
    <row r="113" ht="14.25" customHeight="1" s="134"/>
    <row r="114" ht="14.25" customHeight="1" s="134"/>
    <row r="115" ht="14.25" customHeight="1" s="134"/>
    <row r="116" ht="14.25" customHeight="1" s="134"/>
    <row r="117" ht="14.25" customHeight="1" s="134"/>
    <row r="118" ht="14.25" customHeight="1" s="134"/>
    <row r="119" ht="14.25" customHeight="1" s="134"/>
    <row r="120" ht="14.25" customHeight="1" s="134"/>
    <row r="121" ht="14.25" customHeight="1" s="134"/>
    <row r="122" ht="14.25" customHeight="1" s="134"/>
    <row r="123" ht="14.25" customHeight="1" s="134"/>
    <row r="124" ht="14.25" customHeight="1" s="134"/>
    <row r="125" ht="14.25" customHeight="1" s="134"/>
    <row r="126" ht="14.25" customHeight="1" s="134"/>
    <row r="127" ht="14.25" customHeight="1" s="134"/>
    <row r="128" ht="14.25" customHeight="1" s="134"/>
    <row r="129" ht="14.25" customHeight="1" s="134"/>
    <row r="130" ht="14.25" customHeight="1" s="134"/>
    <row r="131" ht="14.25" customHeight="1" s="134"/>
    <row r="132" ht="14.25" customHeight="1" s="134"/>
    <row r="133" ht="14.25" customHeight="1" s="134"/>
    <row r="134" ht="14.25" customHeight="1" s="134"/>
    <row r="135" ht="14.25" customHeight="1" s="134"/>
    <row r="136" ht="14.25" customHeight="1" s="134"/>
    <row r="137" ht="14.25" customHeight="1" s="134"/>
    <row r="138" ht="14.25" customHeight="1" s="134"/>
    <row r="139" ht="14.25" customHeight="1" s="134"/>
    <row r="140" ht="14.25" customHeight="1" s="134"/>
    <row r="141" ht="14.25" customHeight="1" s="134"/>
    <row r="142" ht="14.25" customHeight="1" s="134"/>
    <row r="143" ht="14.25" customHeight="1" s="134"/>
    <row r="144" ht="14.25" customHeight="1" s="134"/>
    <row r="145" ht="14.25" customHeight="1" s="134"/>
    <row r="146" ht="14.25" customHeight="1" s="134"/>
    <row r="147" ht="14.25" customHeight="1" s="134"/>
    <row r="148" ht="14.25" customHeight="1" s="134"/>
    <row r="149" ht="14.25" customHeight="1" s="134"/>
    <row r="150" ht="14.25" customHeight="1" s="134"/>
    <row r="151" ht="14.25" customHeight="1" s="134"/>
    <row r="152" ht="14.25" customHeight="1" s="134"/>
    <row r="153" ht="14.25" customHeight="1" s="134"/>
    <row r="154" ht="14.25" customHeight="1" s="134"/>
    <row r="155" ht="14.25" customHeight="1" s="134"/>
    <row r="156" ht="14.25" customHeight="1" s="134"/>
    <row r="157" ht="14.25" customHeight="1" s="134"/>
    <row r="158" ht="14.25" customHeight="1" s="134"/>
    <row r="159" ht="14.25" customHeight="1" s="134"/>
    <row r="160" ht="14.25" customHeight="1" s="134"/>
    <row r="161" ht="14.25" customHeight="1" s="134"/>
    <row r="162" ht="14.25" customHeight="1" s="134"/>
    <row r="163" ht="14.25" customHeight="1" s="134"/>
    <row r="164" ht="14.25" customHeight="1" s="134"/>
    <row r="165" ht="14.25" customHeight="1" s="134"/>
    <row r="166" ht="14.25" customHeight="1" s="134"/>
    <row r="167" ht="14.25" customHeight="1" s="134"/>
    <row r="168" ht="14.25" customHeight="1" s="134"/>
    <row r="169" ht="14.25" customHeight="1" s="134"/>
    <row r="170" ht="14.25" customHeight="1" s="134"/>
    <row r="171" ht="14.25" customHeight="1" s="134"/>
    <row r="172" ht="14.25" customHeight="1" s="134"/>
    <row r="173" ht="14.25" customHeight="1" s="134"/>
    <row r="174" ht="14.25" customHeight="1" s="134"/>
    <row r="175" ht="14.25" customHeight="1" s="134"/>
    <row r="176" ht="14.25" customHeight="1" s="134"/>
    <row r="177" ht="14.25" customHeight="1" s="134"/>
    <row r="178" ht="14.25" customHeight="1" s="134"/>
    <row r="179" ht="14.25" customHeight="1" s="134"/>
    <row r="180" ht="14.25" customHeight="1" s="134"/>
    <row r="181" ht="14.25" customHeight="1" s="134"/>
    <row r="182" ht="14.25" customHeight="1" s="134"/>
    <row r="183" ht="14.25" customHeight="1" s="134"/>
    <row r="184" ht="14.25" customHeight="1" s="134"/>
    <row r="185" ht="14.25" customHeight="1" s="134"/>
    <row r="186" ht="14.25" customHeight="1" s="134"/>
    <row r="187" ht="14.25" customHeight="1" s="134"/>
    <row r="188" ht="14.25" customHeight="1" s="134"/>
    <row r="189" ht="14.25" customHeight="1" s="134"/>
    <row r="190" ht="14.25" customHeight="1" s="134"/>
    <row r="191" ht="14.25" customHeight="1" s="134"/>
    <row r="192" ht="14.25" customHeight="1" s="134"/>
    <row r="193" ht="14.25" customHeight="1" s="134"/>
    <row r="194" ht="14.25" customHeight="1" s="134"/>
    <row r="195" ht="14.25" customHeight="1" s="134"/>
    <row r="196" ht="14.25" customHeight="1" s="134"/>
    <row r="197" ht="14.25" customHeight="1" s="134"/>
    <row r="198" ht="14.25" customHeight="1" s="134"/>
    <row r="199" ht="14.25" customHeight="1" s="134"/>
    <row r="200" ht="14.25" customHeight="1" s="134"/>
    <row r="201" ht="14.25" customHeight="1" s="134"/>
    <row r="202" ht="14.25" customHeight="1" s="134"/>
    <row r="203" ht="14.25" customHeight="1" s="134"/>
    <row r="204" ht="14.25" customHeight="1" s="134"/>
    <row r="205" ht="14.25" customHeight="1" s="134"/>
    <row r="206" ht="14.25" customHeight="1" s="134"/>
    <row r="207" ht="14.25" customHeight="1" s="134"/>
    <row r="208" ht="14.25" customHeight="1" s="134"/>
    <row r="209" ht="14.25" customHeight="1" s="134"/>
    <row r="210" ht="14.25" customHeight="1" s="134"/>
    <row r="211" ht="14.25" customHeight="1" s="134"/>
    <row r="212" ht="14.25" customHeight="1" s="134"/>
    <row r="213" ht="14.25" customHeight="1" s="134"/>
    <row r="214" ht="14.25" customHeight="1" s="134"/>
    <row r="215" ht="14.25" customHeight="1" s="134"/>
    <row r="216" ht="14.25" customHeight="1" s="134"/>
    <row r="217" ht="14.25" customHeight="1" s="134"/>
    <row r="218" ht="14.25" customHeight="1" s="134"/>
    <row r="219" ht="14.25" customHeight="1" s="134"/>
    <row r="220" ht="14.25" customHeight="1" s="134"/>
    <row r="221" ht="14.25" customHeight="1" s="134"/>
    <row r="222" ht="14.25" customHeight="1" s="134"/>
    <row r="223" ht="14.25" customHeight="1" s="134"/>
    <row r="224" ht="14.25" customHeight="1" s="134"/>
    <row r="225" ht="14.25" customHeight="1" s="134"/>
    <row r="226" ht="14.25" customHeight="1" s="134"/>
    <row r="227" ht="14.25" customHeight="1" s="134"/>
    <row r="228" ht="14.25" customHeight="1" s="134"/>
    <row r="229" ht="14.25" customHeight="1" s="134"/>
    <row r="230" ht="14.25" customHeight="1" s="134"/>
    <row r="231" ht="14.25" customHeight="1" s="134"/>
    <row r="232" ht="14.25" customHeight="1" s="134"/>
    <row r="233" ht="14.25" customHeight="1" s="134"/>
    <row r="234" ht="14.25" customHeight="1" s="134"/>
    <row r="235" ht="14.25" customHeight="1" s="134"/>
    <row r="236" ht="14.25" customHeight="1" s="134"/>
    <row r="237" ht="14.25" customHeight="1" s="134"/>
    <row r="238" ht="14.25" customHeight="1" s="134"/>
    <row r="239" ht="14.25" customHeight="1" s="134"/>
    <row r="240" ht="14.25" customHeight="1" s="134"/>
    <row r="241" ht="14.25" customHeight="1" s="134"/>
    <row r="242" ht="14.25" customHeight="1" s="134"/>
    <row r="243" ht="14.25" customHeight="1" s="134"/>
    <row r="244" ht="14.25" customHeight="1" s="134"/>
    <row r="245" ht="14.25" customHeight="1" s="134"/>
    <row r="246" ht="14.25" customHeight="1" s="134"/>
    <row r="247" ht="14.25" customHeight="1" s="134"/>
    <row r="248" ht="14.25" customHeight="1" s="134"/>
    <row r="249" ht="14.25" customHeight="1" s="134"/>
    <row r="250" ht="14.25" customHeight="1" s="134"/>
    <row r="251" ht="14.25" customHeight="1" s="134"/>
    <row r="252" ht="14.25" customHeight="1" s="134"/>
    <row r="253" ht="14.25" customHeight="1" s="134"/>
    <row r="254" ht="14.25" customHeight="1" s="134"/>
    <row r="255" ht="14.25" customHeight="1" s="134"/>
    <row r="256" ht="14.25" customHeight="1" s="134"/>
    <row r="257" ht="14.25" customHeight="1" s="134"/>
    <row r="258" ht="14.25" customHeight="1" s="134"/>
    <row r="259" ht="14.25" customHeight="1" s="134"/>
    <row r="260" ht="14.25" customHeight="1" s="134"/>
    <row r="261" ht="14.25" customHeight="1" s="134"/>
    <row r="262" ht="14.25" customHeight="1" s="134"/>
    <row r="263" ht="14.25" customHeight="1" s="134"/>
    <row r="264" ht="14.25" customHeight="1" s="134"/>
    <row r="265" ht="14.25" customHeight="1" s="134"/>
    <row r="266" ht="14.25" customHeight="1" s="134"/>
    <row r="267" ht="14.25" customHeight="1" s="134"/>
    <row r="268" ht="14.25" customHeight="1" s="134"/>
    <row r="269" ht="14.25" customHeight="1" s="134"/>
    <row r="270" ht="14.25" customHeight="1" s="134"/>
    <row r="271" ht="14.25" customHeight="1" s="134"/>
    <row r="272" ht="14.25" customHeight="1" s="134"/>
    <row r="273" ht="14.25" customHeight="1" s="134"/>
    <row r="274" ht="14.25" customHeight="1" s="134"/>
    <row r="275" ht="14.25" customHeight="1" s="134"/>
    <row r="276" ht="14.25" customHeight="1" s="134"/>
    <row r="277" ht="14.25" customHeight="1" s="134"/>
    <row r="278" ht="14.25" customHeight="1" s="134"/>
    <row r="279" ht="14.25" customHeight="1" s="134"/>
    <row r="280" ht="14.25" customHeight="1" s="134"/>
    <row r="281" ht="14.25" customHeight="1" s="134"/>
    <row r="282" ht="14.25" customHeight="1" s="134"/>
    <row r="283" ht="14.25" customHeight="1" s="134"/>
    <row r="284" ht="14.25" customHeight="1" s="134"/>
    <row r="285" ht="14.25" customHeight="1" s="134"/>
    <row r="286" ht="14.25" customHeight="1" s="134"/>
    <row r="287" ht="14.25" customHeight="1" s="134"/>
    <row r="288" ht="14.25" customHeight="1" s="134"/>
    <row r="289" ht="14.25" customHeight="1" s="134"/>
    <row r="290" ht="14.25" customHeight="1" s="134"/>
    <row r="291" ht="14.25" customHeight="1" s="134"/>
    <row r="292" ht="14.25" customHeight="1" s="134"/>
    <row r="293" ht="14.25" customHeight="1" s="134"/>
    <row r="294" ht="14.25" customHeight="1" s="134"/>
    <row r="295" ht="14.25" customHeight="1" s="134"/>
    <row r="296" ht="14.25" customHeight="1" s="134"/>
    <row r="297" ht="14.25" customHeight="1" s="134"/>
    <row r="298" ht="14.25" customHeight="1" s="134"/>
    <row r="299" ht="14.25" customHeight="1" s="134"/>
    <row r="300" ht="14.25" customHeight="1" s="134"/>
    <row r="301" ht="14.25" customHeight="1" s="134"/>
    <row r="302" ht="14.25" customHeight="1" s="134"/>
    <row r="303" ht="14.25" customHeight="1" s="134"/>
    <row r="304" ht="14.25" customHeight="1" s="134"/>
    <row r="305" ht="14.25" customHeight="1" s="134"/>
    <row r="306" ht="14.25" customHeight="1" s="134"/>
    <row r="307" ht="14.25" customHeight="1" s="134"/>
    <row r="308" ht="14.25" customHeight="1" s="134"/>
    <row r="309" ht="14.25" customHeight="1" s="134"/>
    <row r="310" ht="14.25" customHeight="1" s="134"/>
    <row r="311" ht="14.25" customHeight="1" s="134"/>
    <row r="312" ht="14.25" customHeight="1" s="134"/>
    <row r="313" ht="14.25" customHeight="1" s="134"/>
    <row r="314" ht="14.25" customHeight="1" s="134"/>
    <row r="315" ht="14.25" customHeight="1" s="134"/>
    <row r="316" ht="14.25" customHeight="1" s="134"/>
    <row r="317" ht="14.25" customHeight="1" s="134"/>
    <row r="318" ht="14.25" customHeight="1" s="134"/>
    <row r="319" ht="14.25" customHeight="1" s="134"/>
    <row r="320" ht="14.25" customHeight="1" s="134"/>
    <row r="321" ht="14.25" customHeight="1" s="134"/>
    <row r="322" ht="14.25" customHeight="1" s="134"/>
    <row r="323" ht="14.25" customHeight="1" s="134"/>
    <row r="324" ht="14.25" customHeight="1" s="134"/>
    <row r="325" ht="14.25" customHeight="1" s="134"/>
    <row r="326" ht="14.25" customHeight="1" s="134"/>
    <row r="327" ht="14.25" customHeight="1" s="134"/>
    <row r="328" ht="14.25" customHeight="1" s="134"/>
    <row r="329" ht="14.25" customHeight="1" s="134"/>
    <row r="330" ht="14.25" customHeight="1" s="134"/>
    <row r="331" ht="14.25" customHeight="1" s="134"/>
    <row r="332" ht="14.25" customHeight="1" s="134"/>
    <row r="333" ht="14.25" customHeight="1" s="134"/>
    <row r="334" ht="14.25" customHeight="1" s="134"/>
    <row r="335" ht="14.25" customHeight="1" s="134"/>
    <row r="336" ht="14.25" customHeight="1" s="134"/>
    <row r="337" ht="14.25" customHeight="1" s="134"/>
    <row r="338" ht="14.25" customHeight="1" s="134"/>
    <row r="339" ht="14.25" customHeight="1" s="134"/>
    <row r="340" ht="14.25" customHeight="1" s="134"/>
    <row r="341" ht="14.25" customHeight="1" s="134"/>
    <row r="342" ht="14.25" customHeight="1" s="134"/>
    <row r="343" ht="14.25" customHeight="1" s="134"/>
    <row r="344" ht="14.25" customHeight="1" s="134"/>
    <row r="345" ht="14.25" customHeight="1" s="134"/>
    <row r="346" ht="14.25" customHeight="1" s="134"/>
    <row r="347" ht="14.25" customHeight="1" s="134"/>
    <row r="348" ht="14.25" customHeight="1" s="134"/>
    <row r="349" ht="14.25" customHeight="1" s="134"/>
    <row r="350" ht="14.25" customHeight="1" s="134"/>
    <row r="351" ht="14.25" customHeight="1" s="134"/>
    <row r="352" ht="14.25" customHeight="1" s="134"/>
    <row r="353" ht="14.25" customHeight="1" s="134"/>
    <row r="354" ht="14.25" customHeight="1" s="134"/>
    <row r="355" ht="14.25" customHeight="1" s="134"/>
    <row r="356" ht="14.25" customHeight="1" s="134"/>
    <row r="357" ht="14.25" customHeight="1" s="134"/>
    <row r="358" ht="14.25" customHeight="1" s="134"/>
    <row r="359" ht="14.25" customHeight="1" s="134"/>
    <row r="360" ht="14.25" customHeight="1" s="134"/>
    <row r="361" ht="14.25" customHeight="1" s="134"/>
    <row r="362" ht="14.25" customHeight="1" s="134"/>
    <row r="363" ht="14.25" customHeight="1" s="134"/>
    <row r="364" ht="14.25" customHeight="1" s="134"/>
    <row r="365" ht="14.25" customHeight="1" s="134"/>
    <row r="366" ht="14.25" customHeight="1" s="134"/>
    <row r="367" ht="14.25" customHeight="1" s="134"/>
    <row r="368" ht="14.25" customHeight="1" s="134"/>
    <row r="369" ht="14.25" customHeight="1" s="134"/>
    <row r="370" ht="14.25" customHeight="1" s="134"/>
    <row r="371" ht="14.25" customHeight="1" s="134"/>
    <row r="372" ht="14.25" customHeight="1" s="134"/>
    <row r="373" ht="14.25" customHeight="1" s="134"/>
    <row r="374" ht="14.25" customHeight="1" s="134"/>
    <row r="375" ht="14.25" customHeight="1" s="134"/>
    <row r="376" ht="14.25" customHeight="1" s="134"/>
    <row r="377" ht="14.25" customHeight="1" s="134"/>
    <row r="378" ht="14.25" customHeight="1" s="134"/>
    <row r="379" ht="14.25" customHeight="1" s="134"/>
    <row r="380" ht="14.25" customHeight="1" s="134"/>
    <row r="381" ht="14.25" customHeight="1" s="134"/>
    <row r="382" ht="14.25" customHeight="1" s="134"/>
    <row r="383" ht="14.25" customHeight="1" s="134"/>
    <row r="384" ht="14.25" customHeight="1" s="134"/>
    <row r="385" ht="14.25" customHeight="1" s="134"/>
    <row r="386" ht="14.25" customHeight="1" s="134"/>
    <row r="387" ht="14.25" customHeight="1" s="134"/>
    <row r="388" ht="14.25" customHeight="1" s="134"/>
    <row r="389" ht="14.25" customHeight="1" s="134"/>
    <row r="390" ht="14.25" customHeight="1" s="134"/>
    <row r="391" ht="14.25" customHeight="1" s="134"/>
    <row r="392" ht="14.25" customHeight="1" s="134"/>
    <row r="393" ht="14.25" customHeight="1" s="134"/>
    <row r="394" ht="14.25" customHeight="1" s="134"/>
    <row r="395" ht="14.25" customHeight="1" s="134"/>
    <row r="396" ht="14.25" customHeight="1" s="134"/>
    <row r="397" ht="14.25" customHeight="1" s="134"/>
    <row r="398" ht="14.25" customHeight="1" s="134"/>
    <row r="399" ht="14.25" customHeight="1" s="134"/>
    <row r="400" ht="14.25" customHeight="1" s="134"/>
    <row r="401" ht="14.25" customHeight="1" s="134"/>
    <row r="402" ht="14.25" customHeight="1" s="134"/>
    <row r="403" ht="14.25" customHeight="1" s="134"/>
    <row r="404" ht="14.25" customHeight="1" s="134"/>
    <row r="405" ht="14.25" customHeight="1" s="134"/>
    <row r="406" ht="14.25" customHeight="1" s="134"/>
    <row r="407" ht="14.25" customHeight="1" s="134"/>
    <row r="408" ht="14.25" customHeight="1" s="134"/>
    <row r="409" ht="14.25" customHeight="1" s="134"/>
    <row r="410" ht="14.25" customHeight="1" s="134"/>
    <row r="411" ht="14.25" customHeight="1" s="134"/>
    <row r="412" ht="14.25" customHeight="1" s="134"/>
    <row r="413" ht="14.25" customHeight="1" s="134"/>
    <row r="414" ht="14.25" customHeight="1" s="134"/>
    <row r="415" ht="14.25" customHeight="1" s="134"/>
    <row r="416" ht="14.25" customHeight="1" s="134"/>
    <row r="417" ht="14.25" customHeight="1" s="134"/>
    <row r="418" ht="14.25" customHeight="1" s="134"/>
    <row r="419" ht="14.25" customHeight="1" s="134"/>
    <row r="420" ht="14.25" customHeight="1" s="134"/>
    <row r="421" ht="14.25" customHeight="1" s="134"/>
    <row r="422" ht="14.25" customHeight="1" s="134"/>
    <row r="423" ht="14.25" customHeight="1" s="134"/>
    <row r="424" ht="14.25" customHeight="1" s="134"/>
    <row r="425" ht="14.25" customHeight="1" s="134"/>
    <row r="426" ht="14.25" customHeight="1" s="134"/>
    <row r="427" ht="14.25" customHeight="1" s="134"/>
    <row r="428" ht="14.25" customHeight="1" s="134"/>
    <row r="429" ht="14.25" customHeight="1" s="134"/>
    <row r="430" ht="14.25" customHeight="1" s="134"/>
    <row r="431" ht="14.25" customHeight="1" s="134"/>
    <row r="432" ht="14.25" customHeight="1" s="134"/>
    <row r="433" ht="14.25" customHeight="1" s="134"/>
    <row r="434" ht="14.25" customHeight="1" s="134"/>
    <row r="435" ht="14.25" customHeight="1" s="134"/>
    <row r="436" ht="14.25" customHeight="1" s="134"/>
    <row r="437" ht="14.25" customHeight="1" s="134"/>
    <row r="438" ht="14.25" customHeight="1" s="134"/>
    <row r="439" ht="14.25" customHeight="1" s="134"/>
    <row r="440" ht="14.25" customHeight="1" s="134"/>
    <row r="441" ht="14.25" customHeight="1" s="134"/>
    <row r="442" ht="14.25" customHeight="1" s="134"/>
    <row r="443" ht="14.25" customHeight="1" s="134"/>
    <row r="444" ht="14.25" customHeight="1" s="134"/>
    <row r="445" ht="14.25" customHeight="1" s="134"/>
    <row r="446" ht="14.25" customHeight="1" s="134"/>
    <row r="447" ht="14.25" customHeight="1" s="134"/>
    <row r="448" ht="14.25" customHeight="1" s="134"/>
    <row r="449" ht="14.25" customHeight="1" s="134"/>
    <row r="450" ht="14.25" customHeight="1" s="134"/>
    <row r="451" ht="14.25" customHeight="1" s="134"/>
    <row r="452" ht="14.25" customHeight="1" s="134"/>
    <row r="453" ht="14.25" customHeight="1" s="134"/>
    <row r="454" ht="14.25" customHeight="1" s="134"/>
    <row r="455" ht="14.25" customHeight="1" s="134"/>
    <row r="456" ht="14.25" customHeight="1" s="134"/>
    <row r="457" ht="14.25" customHeight="1" s="134"/>
    <row r="458" ht="14.25" customHeight="1" s="134"/>
    <row r="459" ht="14.25" customHeight="1" s="134"/>
    <row r="460" ht="14.25" customHeight="1" s="134"/>
    <row r="461" ht="14.25" customHeight="1" s="134"/>
    <row r="462" ht="14.25" customHeight="1" s="134"/>
    <row r="463" ht="14.25" customHeight="1" s="134"/>
    <row r="464" ht="14.25" customHeight="1" s="134"/>
    <row r="465" ht="14.25" customHeight="1" s="134"/>
    <row r="466" ht="14.25" customHeight="1" s="134"/>
    <row r="467" ht="14.25" customHeight="1" s="134"/>
    <row r="468" ht="14.25" customHeight="1" s="134"/>
    <row r="469" ht="14.25" customHeight="1" s="134"/>
    <row r="470" ht="14.25" customHeight="1" s="134"/>
    <row r="471" ht="14.25" customHeight="1" s="134"/>
    <row r="472" ht="14.25" customHeight="1" s="134"/>
    <row r="473" ht="14.25" customHeight="1" s="134"/>
    <row r="474" ht="14.25" customHeight="1" s="134"/>
    <row r="475" ht="14.25" customHeight="1" s="134"/>
    <row r="476" ht="14.25" customHeight="1" s="134"/>
    <row r="477" ht="14.25" customHeight="1" s="134"/>
    <row r="478" ht="14.25" customHeight="1" s="134"/>
    <row r="479" ht="14.25" customHeight="1" s="134"/>
    <row r="480" ht="14.25" customHeight="1" s="134"/>
    <row r="481" ht="14.25" customHeight="1" s="134"/>
    <row r="482" ht="14.25" customHeight="1" s="134"/>
    <row r="483" ht="14.25" customHeight="1" s="134"/>
    <row r="484" ht="14.25" customHeight="1" s="134"/>
    <row r="485" ht="14.25" customHeight="1" s="134"/>
    <row r="486" ht="14.25" customHeight="1" s="134"/>
    <row r="487" ht="14.25" customHeight="1" s="134"/>
    <row r="488" ht="14.25" customHeight="1" s="134"/>
    <row r="489" ht="14.25" customHeight="1" s="134"/>
    <row r="490" ht="14.25" customHeight="1" s="134"/>
    <row r="491" ht="14.25" customHeight="1" s="134"/>
    <row r="492" ht="14.25" customHeight="1" s="134"/>
    <row r="493" ht="14.25" customHeight="1" s="134"/>
    <row r="494" ht="14.25" customHeight="1" s="134"/>
    <row r="495" ht="14.25" customHeight="1" s="134"/>
    <row r="496" ht="14.25" customHeight="1" s="134"/>
    <row r="497" ht="14.25" customHeight="1" s="134"/>
    <row r="498" ht="14.25" customHeight="1" s="134"/>
    <row r="499" ht="14.25" customHeight="1" s="134"/>
    <row r="500" ht="14.25" customHeight="1" s="134"/>
    <row r="501" ht="14.25" customHeight="1" s="134"/>
    <row r="502" ht="14.25" customHeight="1" s="134"/>
    <row r="503" ht="14.25" customHeight="1" s="134"/>
    <row r="504" ht="14.25" customHeight="1" s="134"/>
    <row r="505" ht="14.25" customHeight="1" s="134"/>
    <row r="506" ht="14.25" customHeight="1" s="134"/>
    <row r="507" ht="14.25" customHeight="1" s="134"/>
    <row r="508" ht="14.25" customHeight="1" s="134"/>
    <row r="509" ht="14.25" customHeight="1" s="134"/>
    <row r="510" ht="14.25" customHeight="1" s="134"/>
    <row r="511" ht="14.25" customHeight="1" s="134"/>
    <row r="512" ht="14.25" customHeight="1" s="134"/>
    <row r="513" ht="14.25" customHeight="1" s="134"/>
    <row r="514" ht="14.25" customHeight="1" s="134"/>
    <row r="515" ht="14.25" customHeight="1" s="134"/>
    <row r="516" ht="14.25" customHeight="1" s="134"/>
    <row r="517" ht="14.25" customHeight="1" s="134"/>
    <row r="518" ht="14.25" customHeight="1" s="134"/>
    <row r="519" ht="14.25" customHeight="1" s="134"/>
    <row r="520" ht="14.25" customHeight="1" s="134"/>
    <row r="521" ht="14.25" customHeight="1" s="134"/>
    <row r="522" ht="14.25" customHeight="1" s="134"/>
    <row r="523" ht="14.25" customHeight="1" s="134"/>
    <row r="524" ht="14.25" customHeight="1" s="134"/>
    <row r="525" ht="14.25" customHeight="1" s="134"/>
    <row r="526" ht="14.25" customHeight="1" s="134"/>
    <row r="527" ht="14.25" customHeight="1" s="134"/>
    <row r="528" ht="14.25" customHeight="1" s="134"/>
    <row r="529" ht="14.25" customHeight="1" s="134"/>
    <row r="530" ht="14.25" customHeight="1" s="134"/>
    <row r="531" ht="14.25" customHeight="1" s="134"/>
    <row r="532" ht="14.25" customHeight="1" s="134"/>
    <row r="533" ht="14.25" customHeight="1" s="134"/>
    <row r="534" ht="14.25" customHeight="1" s="134"/>
    <row r="535" ht="14.25" customHeight="1" s="134"/>
    <row r="536" ht="14.25" customHeight="1" s="134"/>
    <row r="537" ht="14.25" customHeight="1" s="134"/>
    <row r="538" ht="14.25" customHeight="1" s="134"/>
    <row r="539" ht="14.25" customHeight="1" s="134"/>
    <row r="540" ht="14.25" customHeight="1" s="134"/>
    <row r="541" ht="14.25" customHeight="1" s="134"/>
    <row r="542" ht="14.25" customHeight="1" s="134"/>
    <row r="543" ht="14.25" customHeight="1" s="134"/>
    <row r="544" ht="14.25" customHeight="1" s="134"/>
    <row r="545" ht="14.25" customHeight="1" s="134"/>
    <row r="546" ht="14.25" customHeight="1" s="134"/>
    <row r="547" ht="14.25" customHeight="1" s="134"/>
    <row r="548" ht="14.25" customHeight="1" s="134"/>
    <row r="549" ht="14.25" customHeight="1" s="134"/>
    <row r="550" ht="14.25" customHeight="1" s="134"/>
    <row r="551" ht="14.25" customHeight="1" s="134"/>
    <row r="552" ht="14.25" customHeight="1" s="134"/>
    <row r="553" ht="14.25" customHeight="1" s="134"/>
    <row r="554" ht="14.25" customHeight="1" s="134"/>
    <row r="555" ht="14.25" customHeight="1" s="134"/>
    <row r="556" ht="14.25" customHeight="1" s="134"/>
    <row r="557" ht="14.25" customHeight="1" s="134"/>
    <row r="558" ht="14.25" customHeight="1" s="134"/>
    <row r="559" ht="14.25" customHeight="1" s="134"/>
    <row r="560" ht="14.25" customHeight="1" s="134"/>
    <row r="561" ht="14.25" customHeight="1" s="134"/>
    <row r="562" ht="14.25" customHeight="1" s="134"/>
    <row r="563" ht="14.25" customHeight="1" s="134"/>
    <row r="564" ht="14.25" customHeight="1" s="134"/>
    <row r="565" ht="14.25" customHeight="1" s="134"/>
    <row r="566" ht="14.25" customHeight="1" s="134"/>
    <row r="567" ht="14.25" customHeight="1" s="134"/>
    <row r="568" ht="14.25" customHeight="1" s="134"/>
    <row r="569" ht="14.25" customHeight="1" s="134"/>
    <row r="570" ht="14.25" customHeight="1" s="134"/>
    <row r="571" ht="14.25" customHeight="1" s="134"/>
    <row r="572" ht="14.25" customHeight="1" s="134"/>
    <row r="573" ht="14.25" customHeight="1" s="134"/>
    <row r="574" ht="14.25" customHeight="1" s="134"/>
    <row r="575" ht="14.25" customHeight="1" s="134"/>
    <row r="576" ht="14.25" customHeight="1" s="134"/>
    <row r="577" ht="14.25" customHeight="1" s="134"/>
    <row r="578" ht="14.25" customHeight="1" s="134"/>
    <row r="579" ht="14.25" customHeight="1" s="134"/>
    <row r="580" ht="14.25" customHeight="1" s="134"/>
    <row r="581" ht="14.25" customHeight="1" s="134"/>
    <row r="582" ht="14.25" customHeight="1" s="134"/>
    <row r="583" ht="14.25" customHeight="1" s="134"/>
    <row r="584" ht="14.25" customHeight="1" s="134"/>
    <row r="585" ht="14.25" customHeight="1" s="134"/>
    <row r="586" ht="14.25" customHeight="1" s="134"/>
    <row r="587" ht="14.25" customHeight="1" s="134"/>
    <row r="588" ht="14.25" customHeight="1" s="134"/>
    <row r="589" ht="14.25" customHeight="1" s="134"/>
    <row r="590" ht="14.25" customHeight="1" s="134"/>
    <row r="591" ht="14.25" customHeight="1" s="134"/>
    <row r="592" ht="14.25" customHeight="1" s="134"/>
    <row r="593" ht="14.25" customHeight="1" s="134"/>
    <row r="594" ht="14.25" customHeight="1" s="134"/>
    <row r="595" ht="14.25" customHeight="1" s="134"/>
    <row r="596" ht="14.25" customHeight="1" s="134"/>
    <row r="597" ht="14.25" customHeight="1" s="134"/>
    <row r="598" ht="14.25" customHeight="1" s="134"/>
    <row r="599" ht="14.25" customHeight="1" s="134"/>
    <row r="600" ht="14.25" customHeight="1" s="134"/>
    <row r="601" ht="14.25" customHeight="1" s="134"/>
    <row r="602" ht="14.25" customHeight="1" s="134"/>
    <row r="603" ht="14.25" customHeight="1" s="134"/>
    <row r="604" ht="14.25" customHeight="1" s="134"/>
    <row r="605" ht="14.25" customHeight="1" s="134"/>
    <row r="606" ht="14.25" customHeight="1" s="134"/>
    <row r="607" ht="14.25" customHeight="1" s="134"/>
    <row r="608" ht="14.25" customHeight="1" s="134"/>
    <row r="609" ht="14.25" customHeight="1" s="134"/>
    <row r="610" ht="14.25" customHeight="1" s="134"/>
    <row r="611" ht="14.25" customHeight="1" s="134"/>
    <row r="612" ht="14.25" customHeight="1" s="134"/>
    <row r="613" ht="14.25" customHeight="1" s="134"/>
    <row r="614" ht="14.25" customHeight="1" s="134"/>
    <row r="615" ht="14.25" customHeight="1" s="134"/>
    <row r="616" ht="14.25" customHeight="1" s="134"/>
    <row r="617" ht="14.25" customHeight="1" s="134"/>
    <row r="618" ht="14.25" customHeight="1" s="134"/>
    <row r="619" ht="14.25" customHeight="1" s="134"/>
    <row r="620" ht="14.25" customHeight="1" s="134"/>
    <row r="621" ht="14.25" customHeight="1" s="134"/>
    <row r="622" ht="14.25" customHeight="1" s="134"/>
    <row r="623" ht="14.25" customHeight="1" s="134"/>
    <row r="624" ht="14.25" customHeight="1" s="134"/>
    <row r="625" ht="14.25" customHeight="1" s="134"/>
    <row r="626" ht="14.25" customHeight="1" s="134"/>
    <row r="627" ht="14.25" customHeight="1" s="134"/>
    <row r="628" ht="14.25" customHeight="1" s="134"/>
    <row r="629" ht="14.25" customHeight="1" s="134"/>
    <row r="630" ht="14.25" customHeight="1" s="134"/>
    <row r="631" ht="14.25" customHeight="1" s="134"/>
    <row r="632" ht="14.25" customHeight="1" s="134"/>
    <row r="633" ht="14.25" customHeight="1" s="134"/>
    <row r="634" ht="14.25" customHeight="1" s="134"/>
    <row r="635" ht="14.25" customHeight="1" s="134"/>
    <row r="636" ht="14.25" customHeight="1" s="134"/>
    <row r="637" ht="14.25" customHeight="1" s="134"/>
    <row r="638" ht="14.25" customHeight="1" s="134"/>
    <row r="639" ht="14.25" customHeight="1" s="134"/>
    <row r="640" ht="14.25" customHeight="1" s="134"/>
    <row r="641" ht="14.25" customHeight="1" s="134"/>
    <row r="642" ht="14.25" customHeight="1" s="134"/>
    <row r="643" ht="14.25" customHeight="1" s="134"/>
    <row r="644" ht="14.25" customHeight="1" s="134"/>
    <row r="645" ht="14.25" customHeight="1" s="134"/>
    <row r="646" ht="14.25" customHeight="1" s="134"/>
    <row r="647" ht="14.25" customHeight="1" s="134"/>
    <row r="648" ht="14.25" customHeight="1" s="134"/>
    <row r="649" ht="14.25" customHeight="1" s="134"/>
    <row r="650" ht="14.25" customHeight="1" s="134"/>
    <row r="651" ht="14.25" customHeight="1" s="134"/>
    <row r="652" ht="14.25" customHeight="1" s="134"/>
    <row r="653" ht="14.25" customHeight="1" s="134"/>
    <row r="654" ht="14.25" customHeight="1" s="134"/>
    <row r="655" ht="14.25" customHeight="1" s="134"/>
    <row r="656" ht="14.25" customHeight="1" s="134"/>
    <row r="657" ht="14.25" customHeight="1" s="134"/>
    <row r="658" ht="14.25" customHeight="1" s="134"/>
    <row r="659" ht="14.25" customHeight="1" s="134"/>
    <row r="660" ht="14.25" customHeight="1" s="134"/>
    <row r="661" ht="14.25" customHeight="1" s="134"/>
    <row r="662" ht="14.25" customHeight="1" s="134"/>
    <row r="663" ht="14.25" customHeight="1" s="134"/>
    <row r="664" ht="14.25" customHeight="1" s="134"/>
    <row r="665" ht="14.25" customHeight="1" s="134"/>
    <row r="666" ht="14.25" customHeight="1" s="134"/>
    <row r="667" ht="14.25" customHeight="1" s="134"/>
    <row r="668" ht="14.25" customHeight="1" s="134"/>
    <row r="669" ht="14.25" customHeight="1" s="134"/>
    <row r="670" ht="14.25" customHeight="1" s="134"/>
    <row r="671" ht="14.25" customHeight="1" s="134"/>
    <row r="672" ht="14.25" customHeight="1" s="134"/>
    <row r="673" ht="14.25" customHeight="1" s="134"/>
    <row r="674" ht="14.25" customHeight="1" s="134"/>
    <row r="675" ht="14.25" customHeight="1" s="134"/>
    <row r="676" ht="14.25" customHeight="1" s="134"/>
    <row r="677" ht="14.25" customHeight="1" s="134"/>
    <row r="678" ht="14.25" customHeight="1" s="134"/>
    <row r="679" ht="14.25" customHeight="1" s="134"/>
    <row r="680" ht="14.25" customHeight="1" s="134"/>
    <row r="681" ht="14.25" customHeight="1" s="134"/>
    <row r="682" ht="14.25" customHeight="1" s="134"/>
    <row r="683" ht="14.25" customHeight="1" s="134"/>
    <row r="684" ht="14.25" customHeight="1" s="134"/>
    <row r="685" ht="14.25" customHeight="1" s="134"/>
    <row r="686" ht="14.25" customHeight="1" s="134"/>
    <row r="687" ht="14.25" customHeight="1" s="134"/>
    <row r="688" ht="14.25" customHeight="1" s="134"/>
    <row r="689" ht="14.25" customHeight="1" s="134"/>
    <row r="690" ht="14.25" customHeight="1" s="134"/>
    <row r="691" ht="14.25" customHeight="1" s="134"/>
    <row r="692" ht="14.25" customHeight="1" s="134"/>
    <row r="693" ht="14.25" customHeight="1" s="134"/>
    <row r="694" ht="14.25" customHeight="1" s="134"/>
    <row r="695" ht="14.25" customHeight="1" s="134"/>
    <row r="696" ht="14.25" customHeight="1" s="134"/>
    <row r="697" ht="14.25" customHeight="1" s="134"/>
    <row r="698" ht="14.25" customHeight="1" s="134"/>
    <row r="699" ht="14.25" customHeight="1" s="134"/>
    <row r="700" ht="14.25" customHeight="1" s="134"/>
    <row r="701" ht="14.25" customHeight="1" s="134"/>
    <row r="702" ht="14.25" customHeight="1" s="134"/>
    <row r="703" ht="14.25" customHeight="1" s="134"/>
    <row r="704" ht="14.25" customHeight="1" s="134"/>
    <row r="705" ht="14.25" customHeight="1" s="134"/>
    <row r="706" ht="14.25" customHeight="1" s="134"/>
    <row r="707" ht="14.25" customHeight="1" s="134"/>
    <row r="708" ht="14.25" customHeight="1" s="134"/>
    <row r="709" ht="14.25" customHeight="1" s="134"/>
    <row r="710" ht="14.25" customHeight="1" s="134"/>
    <row r="711" ht="14.25" customHeight="1" s="134"/>
    <row r="712" ht="14.25" customHeight="1" s="134"/>
    <row r="713" ht="14.25" customHeight="1" s="134"/>
    <row r="714" ht="14.25" customHeight="1" s="134"/>
    <row r="715" ht="14.25" customHeight="1" s="134"/>
    <row r="716" ht="14.25" customHeight="1" s="134"/>
    <row r="717" ht="14.25" customHeight="1" s="134"/>
    <row r="718" ht="14.25" customHeight="1" s="134"/>
    <row r="719" ht="14.25" customHeight="1" s="134"/>
    <row r="720" ht="14.25" customHeight="1" s="134"/>
    <row r="721" ht="14.25" customHeight="1" s="134"/>
    <row r="722" ht="14.25" customHeight="1" s="134"/>
    <row r="723" ht="14.25" customHeight="1" s="134"/>
    <row r="724" ht="14.25" customHeight="1" s="134"/>
    <row r="725" ht="14.25" customHeight="1" s="134"/>
    <row r="726" ht="14.25" customHeight="1" s="134"/>
    <row r="727" ht="14.25" customHeight="1" s="134"/>
    <row r="728" ht="14.25" customHeight="1" s="134"/>
    <row r="729" ht="14.25" customHeight="1" s="134"/>
    <row r="730" ht="14.25" customHeight="1" s="134"/>
    <row r="731" ht="14.25" customHeight="1" s="134"/>
    <row r="732" ht="14.25" customHeight="1" s="134"/>
    <row r="733" ht="14.25" customHeight="1" s="134"/>
    <row r="734" ht="14.25" customHeight="1" s="134"/>
    <row r="735" ht="14.25" customHeight="1" s="134"/>
    <row r="736" ht="14.25" customHeight="1" s="134"/>
    <row r="737" ht="14.25" customHeight="1" s="134"/>
    <row r="738" ht="14.25" customHeight="1" s="134"/>
    <row r="739" ht="14.25" customHeight="1" s="134"/>
    <row r="740" ht="14.25" customHeight="1" s="134"/>
    <row r="741" ht="14.25" customHeight="1" s="134"/>
    <row r="742" ht="14.25" customHeight="1" s="134"/>
    <row r="743" ht="14.25" customHeight="1" s="134"/>
    <row r="744" ht="14.25" customHeight="1" s="134"/>
    <row r="745" ht="14.25" customHeight="1" s="134"/>
    <row r="746" ht="14.25" customHeight="1" s="134"/>
    <row r="747" ht="14.25" customHeight="1" s="134"/>
    <row r="748" ht="14.25" customHeight="1" s="134"/>
    <row r="749" ht="14.25" customHeight="1" s="134"/>
    <row r="750" ht="14.25" customHeight="1" s="134"/>
    <row r="751" ht="14.25" customHeight="1" s="134"/>
    <row r="752" ht="14.25" customHeight="1" s="134"/>
    <row r="753" ht="14.25" customHeight="1" s="134"/>
    <row r="754" ht="14.25" customHeight="1" s="134"/>
    <row r="755" ht="14.25" customHeight="1" s="134"/>
    <row r="756" ht="14.25" customHeight="1" s="134"/>
    <row r="757" ht="14.25" customHeight="1" s="134"/>
    <row r="758" ht="14.25" customHeight="1" s="134"/>
    <row r="759" ht="14.25" customHeight="1" s="134"/>
    <row r="760" ht="14.25" customHeight="1" s="134"/>
    <row r="761" ht="14.25" customHeight="1" s="134"/>
    <row r="762" ht="14.25" customHeight="1" s="134"/>
    <row r="763" ht="14.25" customHeight="1" s="134"/>
    <row r="764" ht="14.25" customHeight="1" s="134"/>
    <row r="765" ht="14.25" customHeight="1" s="134"/>
    <row r="766" ht="14.25" customHeight="1" s="134"/>
    <row r="767" ht="14.25" customHeight="1" s="134"/>
    <row r="768" ht="14.25" customHeight="1" s="134"/>
    <row r="769" ht="14.25" customHeight="1" s="134"/>
    <row r="770" ht="14.25" customHeight="1" s="134"/>
    <row r="771" ht="14.25" customHeight="1" s="134"/>
    <row r="772" ht="14.25" customHeight="1" s="134"/>
    <row r="773" ht="14.25" customHeight="1" s="134"/>
    <row r="774" ht="14.25" customHeight="1" s="134"/>
    <row r="775" ht="14.25" customHeight="1" s="134"/>
    <row r="776" ht="14.25" customHeight="1" s="134"/>
    <row r="777" ht="14.25" customHeight="1" s="134"/>
    <row r="778" ht="14.25" customHeight="1" s="134"/>
    <row r="779" ht="14.25" customHeight="1" s="134"/>
    <row r="780" ht="14.25" customHeight="1" s="134"/>
    <row r="781" ht="14.25" customHeight="1" s="134"/>
    <row r="782" ht="14.25" customHeight="1" s="134"/>
    <row r="783" ht="14.25" customHeight="1" s="134"/>
    <row r="784" ht="14.25" customHeight="1" s="134"/>
    <row r="785" ht="14.25" customHeight="1" s="134"/>
    <row r="786" ht="14.25" customHeight="1" s="134"/>
    <row r="787" ht="14.25" customHeight="1" s="134"/>
    <row r="788" ht="14.25" customHeight="1" s="134"/>
    <row r="789" ht="14.25" customHeight="1" s="134"/>
    <row r="790" ht="14.25" customHeight="1" s="134"/>
    <row r="791" ht="14.25" customHeight="1" s="134"/>
    <row r="792" ht="14.25" customHeight="1" s="134"/>
    <row r="793" ht="14.25" customHeight="1" s="134"/>
    <row r="794" ht="14.25" customHeight="1" s="134"/>
    <row r="795" ht="14.25" customHeight="1" s="134"/>
    <row r="796" ht="14.25" customHeight="1" s="134"/>
    <row r="797" ht="14.25" customHeight="1" s="134"/>
    <row r="798" ht="14.25" customHeight="1" s="134"/>
    <row r="799" ht="14.25" customHeight="1" s="134"/>
    <row r="800" ht="14.25" customHeight="1" s="134"/>
    <row r="801" ht="14.25" customHeight="1" s="134"/>
    <row r="802" ht="14.25" customHeight="1" s="134"/>
    <row r="803" ht="14.25" customHeight="1" s="134"/>
    <row r="804" ht="14.25" customHeight="1" s="134"/>
    <row r="805" ht="14.25" customHeight="1" s="134"/>
    <row r="806" ht="14.25" customHeight="1" s="134"/>
    <row r="807" ht="14.25" customHeight="1" s="134"/>
    <row r="808" ht="14.25" customHeight="1" s="134"/>
    <row r="809" ht="14.25" customHeight="1" s="134"/>
    <row r="810" ht="14.25" customHeight="1" s="134"/>
    <row r="811" ht="14.25" customHeight="1" s="134"/>
    <row r="812" ht="14.25" customHeight="1" s="134"/>
    <row r="813" ht="14.25" customHeight="1" s="134"/>
    <row r="814" ht="14.25" customHeight="1" s="134"/>
    <row r="815" ht="14.25" customHeight="1" s="134"/>
    <row r="816" ht="14.25" customHeight="1" s="134"/>
    <row r="817" ht="14.25" customHeight="1" s="134"/>
    <row r="818" ht="14.25" customHeight="1" s="134"/>
    <row r="819" ht="14.25" customHeight="1" s="134"/>
    <row r="820" ht="14.25" customHeight="1" s="134"/>
    <row r="821" ht="14.25" customHeight="1" s="134"/>
    <row r="822" ht="14.25" customHeight="1" s="134"/>
    <row r="823" ht="14.25" customHeight="1" s="134"/>
    <row r="824" ht="14.25" customHeight="1" s="134"/>
    <row r="825" ht="14.25" customHeight="1" s="134"/>
    <row r="826" ht="14.25" customHeight="1" s="134"/>
    <row r="827" ht="14.25" customHeight="1" s="134"/>
    <row r="828" ht="14.25" customHeight="1" s="134"/>
    <row r="829" ht="14.25" customHeight="1" s="134"/>
    <row r="830" ht="14.25" customHeight="1" s="134"/>
    <row r="831" ht="14.25" customHeight="1" s="134"/>
    <row r="832" ht="14.25" customHeight="1" s="134"/>
    <row r="833" ht="14.25" customHeight="1" s="134"/>
    <row r="834" ht="14.25" customHeight="1" s="134"/>
    <row r="835" ht="14.25" customHeight="1" s="134"/>
    <row r="836" ht="14.25" customHeight="1" s="134"/>
    <row r="837" ht="14.25" customHeight="1" s="134"/>
    <row r="838" ht="14.25" customHeight="1" s="134"/>
    <row r="839" ht="14.25" customHeight="1" s="134"/>
    <row r="840" ht="14.25" customHeight="1" s="134"/>
    <row r="841" ht="14.25" customHeight="1" s="134"/>
    <row r="842" ht="14.25" customHeight="1" s="134"/>
    <row r="843" ht="14.25" customHeight="1" s="134"/>
    <row r="844" ht="14.25" customHeight="1" s="134"/>
    <row r="845" ht="14.25" customHeight="1" s="134"/>
    <row r="846" ht="14.25" customHeight="1" s="134"/>
    <row r="847" ht="14.25" customHeight="1" s="134"/>
    <row r="848" ht="14.25" customHeight="1" s="134"/>
    <row r="849" ht="14.25" customHeight="1" s="134"/>
    <row r="850" ht="14.25" customHeight="1" s="134"/>
    <row r="851" ht="14.25" customHeight="1" s="134"/>
    <row r="852" ht="14.25" customHeight="1" s="134"/>
    <row r="853" ht="14.25" customHeight="1" s="134"/>
    <row r="854" ht="14.25" customHeight="1" s="134"/>
    <row r="855" ht="14.25" customHeight="1" s="134"/>
    <row r="856" ht="14.25" customHeight="1" s="134"/>
    <row r="857" ht="14.25" customHeight="1" s="134"/>
    <row r="858" ht="14.25" customHeight="1" s="134"/>
    <row r="859" ht="14.25" customHeight="1" s="134"/>
    <row r="860" ht="14.25" customHeight="1" s="134"/>
    <row r="861" ht="14.25" customHeight="1" s="134"/>
    <row r="862" ht="14.25" customHeight="1" s="134"/>
    <row r="863" ht="14.25" customHeight="1" s="134"/>
    <row r="864" ht="14.25" customHeight="1" s="134"/>
    <row r="865" ht="14.25" customHeight="1" s="134"/>
    <row r="866" ht="14.25" customHeight="1" s="134"/>
    <row r="867" ht="14.25" customHeight="1" s="134"/>
    <row r="868" ht="14.25" customHeight="1" s="134"/>
    <row r="869" ht="14.25" customHeight="1" s="134"/>
    <row r="870" ht="14.25" customHeight="1" s="134"/>
    <row r="871" ht="14.25" customHeight="1" s="134"/>
    <row r="872" ht="14.25" customHeight="1" s="134"/>
    <row r="873" ht="14.25" customHeight="1" s="134"/>
    <row r="874" ht="14.25" customHeight="1" s="134"/>
    <row r="875" ht="14.25" customHeight="1" s="134"/>
    <row r="876" ht="14.25" customHeight="1" s="134"/>
    <row r="877" ht="14.25" customHeight="1" s="134"/>
    <row r="878" ht="14.25" customHeight="1" s="134"/>
    <row r="879" ht="14.25" customHeight="1" s="134"/>
    <row r="880" ht="14.25" customHeight="1" s="134"/>
    <row r="881" ht="14.25" customHeight="1" s="134"/>
    <row r="882" ht="14.25" customHeight="1" s="134"/>
    <row r="883" ht="14.25" customHeight="1" s="134"/>
    <row r="884" ht="14.25" customHeight="1" s="134"/>
    <row r="885" ht="14.25" customHeight="1" s="134"/>
    <row r="886" ht="14.25" customHeight="1" s="134"/>
    <row r="887" ht="14.25" customHeight="1" s="134"/>
    <row r="888" ht="14.25" customHeight="1" s="134"/>
    <row r="889" ht="14.25" customHeight="1" s="134"/>
    <row r="890" ht="14.25" customHeight="1" s="134"/>
    <row r="891" ht="14.25" customHeight="1" s="134"/>
    <row r="892" ht="14.25" customHeight="1" s="134"/>
    <row r="893" ht="14.25" customHeight="1" s="134"/>
    <row r="894" ht="14.25" customHeight="1" s="134"/>
    <row r="895" ht="14.25" customHeight="1" s="134"/>
    <row r="896" ht="14.25" customHeight="1" s="134"/>
    <row r="897" ht="14.25" customHeight="1" s="134"/>
    <row r="898" ht="14.25" customHeight="1" s="134"/>
    <row r="899" ht="14.25" customHeight="1" s="134"/>
    <row r="900" ht="14.25" customHeight="1" s="134"/>
    <row r="901" ht="14.25" customHeight="1" s="134"/>
    <row r="902" ht="14.25" customHeight="1" s="134"/>
    <row r="903" ht="14.25" customHeight="1" s="134"/>
    <row r="904" ht="14.25" customHeight="1" s="134"/>
    <row r="905" ht="14.25" customHeight="1" s="134"/>
    <row r="906" ht="14.25" customHeight="1" s="134"/>
    <row r="907" ht="14.25" customHeight="1" s="134"/>
    <row r="908" ht="14.25" customHeight="1" s="134"/>
    <row r="909" ht="14.25" customHeight="1" s="134"/>
    <row r="910" ht="14.25" customHeight="1" s="134"/>
    <row r="911" ht="14.25" customHeight="1" s="134"/>
    <row r="912" ht="14.25" customHeight="1" s="134"/>
    <row r="913" ht="14.25" customHeight="1" s="134"/>
    <row r="914" ht="14.25" customHeight="1" s="134"/>
    <row r="915" ht="14.25" customHeight="1" s="134"/>
    <row r="916" ht="14.25" customHeight="1" s="134"/>
    <row r="917" ht="14.25" customHeight="1" s="134"/>
    <row r="918" ht="14.25" customHeight="1" s="134"/>
    <row r="919" ht="14.25" customHeight="1" s="134"/>
    <row r="920" ht="14.25" customHeight="1" s="134"/>
    <row r="921" ht="14.25" customHeight="1" s="134"/>
    <row r="922" ht="14.25" customHeight="1" s="134"/>
    <row r="923" ht="14.25" customHeight="1" s="134"/>
    <row r="924" ht="14.25" customHeight="1" s="134"/>
    <row r="925" ht="14.25" customHeight="1" s="134"/>
    <row r="926" ht="14.25" customHeight="1" s="134"/>
    <row r="927" ht="14.25" customHeight="1" s="134"/>
    <row r="928" ht="14.25" customHeight="1" s="134"/>
    <row r="929" ht="14.25" customHeight="1" s="134"/>
    <row r="930" ht="14.25" customHeight="1" s="134"/>
    <row r="931" ht="14.25" customHeight="1" s="134"/>
    <row r="932" ht="14.25" customHeight="1" s="134"/>
    <row r="933" ht="14.25" customHeight="1" s="134"/>
    <row r="934" ht="14.25" customHeight="1" s="134"/>
    <row r="935" ht="14.25" customHeight="1" s="134"/>
    <row r="936" ht="14.25" customHeight="1" s="134"/>
    <row r="937" ht="14.25" customHeight="1" s="134"/>
    <row r="938" ht="14.25" customHeight="1" s="134"/>
    <row r="939" ht="14.25" customHeight="1" s="134"/>
    <row r="940" ht="14.25" customHeight="1" s="134"/>
    <row r="941" ht="14.25" customHeight="1" s="134"/>
    <row r="942" ht="14.25" customHeight="1" s="134"/>
    <row r="943" ht="14.25" customHeight="1" s="134"/>
    <row r="944" ht="14.25" customHeight="1" s="134"/>
    <row r="945" ht="14.25" customHeight="1" s="134"/>
    <row r="946" ht="14.25" customHeight="1" s="134"/>
    <row r="947" ht="14.25" customHeight="1" s="134"/>
    <row r="948" ht="14.25" customHeight="1" s="134"/>
    <row r="949" ht="14.25" customHeight="1" s="134"/>
    <row r="950" ht="14.25" customHeight="1" s="134"/>
    <row r="951" ht="14.25" customHeight="1" s="134"/>
    <row r="952" ht="14.25" customHeight="1" s="134"/>
    <row r="953" ht="14.25" customHeight="1" s="134"/>
    <row r="954" ht="14.25" customHeight="1" s="134"/>
    <row r="955" ht="14.25" customHeight="1" s="134"/>
    <row r="956" ht="14.25" customHeight="1" s="134"/>
    <row r="957" ht="14.25" customHeight="1" s="134"/>
    <row r="958" ht="14.25" customHeight="1" s="134"/>
    <row r="959" ht="14.25" customHeight="1" s="134"/>
    <row r="960" ht="14.25" customHeight="1" s="134"/>
    <row r="961" ht="14.25" customHeight="1" s="134"/>
    <row r="962" ht="14.25" customHeight="1" s="134"/>
    <row r="963" ht="14.25" customHeight="1" s="134"/>
    <row r="964" ht="14.25" customHeight="1" s="134"/>
    <row r="965" ht="14.25" customHeight="1" s="134"/>
    <row r="966" ht="14.25" customHeight="1" s="134"/>
    <row r="967" ht="14.25" customHeight="1" s="134"/>
    <row r="968" ht="14.25" customHeight="1" s="134"/>
    <row r="969" ht="14.25" customHeight="1" s="134"/>
    <row r="970" ht="14.25" customHeight="1" s="134"/>
    <row r="971" ht="14.25" customHeight="1" s="134"/>
    <row r="972" ht="14.25" customHeight="1" s="134"/>
    <row r="973" ht="14.25" customHeight="1" s="134"/>
    <row r="974" ht="14.25" customHeight="1" s="134"/>
    <row r="975" ht="14.25" customHeight="1" s="134"/>
    <row r="976" ht="14.25" customHeight="1" s="134"/>
    <row r="977" ht="14.25" customHeight="1" s="134"/>
    <row r="978" ht="14.25" customHeight="1" s="134"/>
    <row r="979" ht="14.25" customHeight="1" s="134"/>
    <row r="980" ht="14.25" customHeight="1" s="134"/>
    <row r="981" ht="14.25" customHeight="1" s="134"/>
    <row r="982" ht="14.25" customHeight="1" s="134"/>
    <row r="983" ht="14.25" customHeight="1" s="134"/>
    <row r="984" ht="14.25" customHeight="1" s="134"/>
    <row r="985" ht="14.25" customHeight="1" s="134"/>
    <row r="986" ht="14.25" customHeight="1" s="134"/>
    <row r="987" ht="14.25" customHeight="1" s="134"/>
    <row r="988" ht="14.25" customHeight="1" s="134"/>
    <row r="989" ht="14.25" customHeight="1" s="134"/>
    <row r="990" ht="14.25" customHeight="1" s="134"/>
    <row r="991" ht="14.25" customHeight="1" s="134"/>
    <row r="992" ht="14.25" customHeight="1" s="134"/>
    <row r="993" ht="14.25" customHeight="1" s="134"/>
    <row r="994" ht="14.25" customHeight="1" s="134"/>
    <row r="995" ht="14.25" customHeight="1" s="134"/>
    <row r="996" ht="14.25" customHeight="1" s="134"/>
    <row r="997" ht="14.25" customHeight="1" s="134"/>
    <row r="998" ht="14.25" customHeight="1" s="134"/>
    <row r="999" ht="14.25" customHeight="1" s="134"/>
    <row r="1000" ht="14.25" customHeight="1" s="13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BF8F00"/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10" defaultColWidth="14.44140625" defaultRowHeight="15" customHeight="1"/>
  <cols>
    <col width="58" customWidth="1" style="134" min="1" max="1"/>
    <col width="16" customWidth="1" style="134" min="2" max="3"/>
    <col width="40" customWidth="1" style="134" min="4" max="4"/>
    <col width="14" customWidth="1" style="134" min="5" max="6"/>
    <col width="8.88671875" customWidth="1" style="134" min="7" max="26"/>
  </cols>
  <sheetData>
    <row r="1" ht="14.25" customHeight="1" s="134">
      <c r="A1" s="151" t="inlineStr">
        <is>
          <t>PARÁMETROS — única hoja donde se edita. Todo el resto del archivo calcula desde aquí.</t>
        </is>
      </c>
    </row>
    <row r="2" ht="14.25" customHeight="1" s="134">
      <c r="A2" s="5" t="inlineStr">
        <is>
          <t>Editar solo las celdas de la columna B (o C donde se indique). Las fórmulas del resto del archivo ya apuntan aquí.</t>
        </is>
      </c>
    </row>
    <row r="3" ht="14.25" customHeight="1" s="134"/>
    <row r="4" ht="14.25" customHeight="1" s="134">
      <c r="A4" s="152" t="inlineStr">
        <is>
          <t>1. FECHA Y SEMANA DE CORTE</t>
        </is>
      </c>
    </row>
    <row r="5" ht="14.25" customHeight="1" s="134">
      <c r="A5" s="12" t="inlineStr">
        <is>
          <t>Fecha de hoy / corte de datos</t>
        </is>
      </c>
      <c r="B5" s="14" t="n">
        <v>46272</v>
      </c>
    </row>
    <row r="6" ht="14.25" customHeight="1" s="134">
      <c r="A6" s="12" t="inlineStr">
        <is>
          <t>Semana ISO de arranque de la proyección</t>
        </is>
      </c>
      <c r="B6" s="12" t="n">
        <v>37</v>
      </c>
    </row>
    <row r="7" ht="14.25" customHeight="1" s="134">
      <c r="A7" s="12" t="inlineStr">
        <is>
          <t>Plazo mínimo real de gestión de fondos con Agroaéreo (días)</t>
        </is>
      </c>
      <c r="B7" s="12" t="n">
        <v>7</v>
      </c>
    </row>
    <row r="8" ht="14.25" customHeight="1" s="134">
      <c r="A8" s="12" t="inlineStr">
        <is>
          <t>Semanas de anticipación para disparar la alerta (redondeo del plazo)</t>
        </is>
      </c>
      <c r="B8" s="12">
        <f>ROUNDUP(B7/7,0)</f>
        <v/>
      </c>
    </row>
    <row r="9" ht="14.25" customHeight="1" s="134"/>
    <row r="10" ht="14.25" customHeight="1" s="134">
      <c r="A10" s="152" t="inlineStr">
        <is>
          <t>2. SALDO REAL DE CAJA</t>
        </is>
      </c>
    </row>
    <row r="11" ht="14.25" customHeight="1" s="134">
      <c r="A11" s="12" t="inlineStr">
        <is>
          <t>Saldo real Banco Pichincha (único banco operado) a la fecha de corte</t>
        </is>
      </c>
      <c r="B11" s="30" t="n">
        <v>19669.46</v>
      </c>
      <c r="D11" s="138" t="inlineStr">
        <is>
          <t>Fuente: detalle de cheques SEM36 aportado por el usuario, saldo confirmado al 04-sep-2026.</t>
        </is>
      </c>
    </row>
    <row r="12" ht="14.25" customHeight="1" s="134"/>
    <row r="13" ht="14.25" customHeight="1" s="134">
      <c r="A13" s="152" t="inlineStr">
        <is>
          <t>3. INGRESO OPERATIVO — promedio real 6 meses completos (ene-jun 2026, Libro Bancos maestro)</t>
        </is>
      </c>
    </row>
    <row r="14" ht="14.25" customHeight="1" s="134">
      <c r="A14" s="9" t="inlineStr">
        <is>
          <t>Concepto</t>
        </is>
      </c>
      <c r="B14" s="9" t="inlineStr">
        <is>
          <t>Mensual USD</t>
        </is>
      </c>
      <c r="C14" s="9" t="inlineStr">
        <is>
          <t>Semanal USD (÷4,345)</t>
        </is>
      </c>
      <c r="D14" s="9" t="inlineStr">
        <is>
          <t>Nota</t>
        </is>
      </c>
      <c r="E14" s="9" t="inlineStr">
        <is>
          <t>sem 1</t>
        </is>
      </c>
      <c r="F14" s="9" t="inlineStr">
        <is>
          <t>sem 2</t>
        </is>
      </c>
      <c r="G14" s="9" t="inlineStr">
        <is>
          <t>sem 3</t>
        </is>
      </c>
      <c r="H14" s="9" t="inlineStr">
        <is>
          <t>sem 4</t>
        </is>
      </c>
    </row>
    <row r="15" ht="14.25" customHeight="1" s="134">
      <c r="A15" s="12" t="inlineStr">
        <is>
          <t>Ingreso por cobros de clientes (arriendo de bodegas)</t>
        </is>
      </c>
      <c r="B15" s="13" t="n">
        <v>26459.26</v>
      </c>
      <c r="C15" s="35">
        <f>B15/4.345</f>
        <v/>
      </c>
      <c r="D15" s="138" t="inlineStr">
        <is>
          <t>Reconciliado con hoja A_FLUJO_MENSUAL del archivo 14-ago (idéntico).</t>
        </is>
      </c>
      <c r="E15" s="13">
        <f>+B15*0.1</f>
        <v/>
      </c>
      <c r="F15" s="13">
        <f>+B15*0.3</f>
        <v/>
      </c>
      <c r="G15" s="13">
        <f>+B15*0.4</f>
        <v/>
      </c>
      <c r="H15" s="13">
        <f>+B15*0.2</f>
        <v/>
      </c>
    </row>
    <row r="16" ht="14.25" customHeight="1" s="134"/>
    <row r="17" ht="14.25" customHeight="1" s="134">
      <c r="A17" s="152" t="inlineStr">
        <is>
          <t>4. EGRESOS FIJOS — por categoría, promedio real ene-jun 2026</t>
        </is>
      </c>
    </row>
    <row r="18" ht="14.25" customHeight="1" s="134">
      <c r="A18" s="9" t="inlineStr">
        <is>
          <t>Categoría</t>
        </is>
      </c>
      <c r="B18" s="9" t="inlineStr">
        <is>
          <t>Mensual USD</t>
        </is>
      </c>
      <c r="C18" s="9" t="inlineStr">
        <is>
          <t>Semanal USD (÷4,345)</t>
        </is>
      </c>
      <c r="D18" s="9" t="inlineStr">
        <is>
          <t>Nota</t>
        </is>
      </c>
    </row>
    <row r="19" ht="14.25" customHeight="1" s="134">
      <c r="A19" s="12" t="inlineStr">
        <is>
          <t>Gasto operativo y administrativo</t>
        </is>
      </c>
      <c r="B19" s="13" t="n">
        <v>3268.57</v>
      </c>
      <c r="C19" s="35">
        <f>B19/4.345</f>
        <v/>
      </c>
      <c r="D19" s="138" t="inlineStr">
        <is>
          <t>Estable mes a mes.</t>
        </is>
      </c>
    </row>
    <row r="20" ht="14.25" customHeight="1" s="134">
      <c r="A20" s="12" t="inlineStr">
        <is>
          <t>Mantenimiento de bodegas en operación</t>
        </is>
      </c>
      <c r="B20" s="13" t="n">
        <v>7099.53</v>
      </c>
      <c r="C20" s="35">
        <f>B20/4.345</f>
        <v/>
      </c>
      <c r="D20" s="138" t="inlineStr">
        <is>
          <t>🚦 Alto ene-abr por reparaciones puntuales; may-jun bajó a ~194/sem. Recalibrar con 3 meses recientes si el patrón no se repite.</t>
        </is>
      </c>
    </row>
    <row r="21" ht="14.25" customHeight="1" s="134">
      <c r="A21" s="12" t="inlineStr">
        <is>
          <t>Impuestos, prediales y gastos bancarios</t>
        </is>
      </c>
      <c r="B21" s="13" t="n">
        <v>3318.25</v>
      </c>
      <c r="C21" s="35">
        <f>B21/4.345</f>
        <v/>
      </c>
      <c r="D21" s="138" t="inlineStr">
        <is>
          <t>🚦 Estacional: alto ene-mar por predial con descuento (COOTAD); bajo en jul-ago.</t>
        </is>
      </c>
    </row>
    <row r="22" ht="14.25" customHeight="1" s="134">
      <c r="A22" s="12" t="inlineStr">
        <is>
          <t>Servicio de deuda — Cooperativa La Nuestra</t>
        </is>
      </c>
      <c r="B22" s="13" t="n">
        <v>1081.5</v>
      </c>
      <c r="C22" s="35">
        <f>B22/4.345</f>
        <v/>
      </c>
      <c r="D22" s="138" t="inlineStr">
        <is>
          <t>Cuota fija mensual del préstamo a Francisco Duque, cargada a la empresa.</t>
        </is>
      </c>
    </row>
    <row r="23" ht="14.25" customHeight="1" s="134">
      <c r="A23" s="12" t="inlineStr">
        <is>
          <t>Estudios, planos y levantamientos</t>
        </is>
      </c>
      <c r="B23" s="13" t="n">
        <v>275</v>
      </c>
      <c r="C23" s="35">
        <f>B23/4.345</f>
        <v/>
      </c>
      <c r="D23" s="138" t="inlineStr">
        <is>
          <t>Irregular; sube cuando hay trámites de planificación.</t>
        </is>
      </c>
    </row>
    <row r="24" ht="14.25" customHeight="1" s="134">
      <c r="A24" s="12" t="inlineStr">
        <is>
          <t>Retiros de socios / gasto societario y legal (normalizado)</t>
        </is>
      </c>
      <c r="B24" s="13" t="n">
        <v>1547.51</v>
      </c>
      <c r="C24" s="35">
        <f>B24/4.345</f>
        <v/>
      </c>
      <c r="D24" s="138" t="inlineStr">
        <is>
          <t>🚦 Excluye el retiro atípico de $20.146,55 de mayo — con ese mes el promedio sube a $4.647,35/mes. Ajustar si el retiro de mayo se repite.</t>
        </is>
      </c>
    </row>
    <row r="25" ht="14.25" customHeight="1" s="134">
      <c r="A25" s="37" t="inlineStr">
        <is>
          <t>SUBTOTAL EGRESOS FIJOS</t>
        </is>
      </c>
      <c r="B25" s="38">
        <f>SUM(B19:B24)</f>
        <v/>
      </c>
      <c r="C25" s="38">
        <f>SUM(C19:C24)</f>
        <v/>
      </c>
    </row>
    <row r="26" ht="14.25" customHeight="1" s="134"/>
    <row r="27" ht="14.25" customHeight="1" s="134">
      <c r="A27" s="152" t="inlineStr">
        <is>
          <t>5. CAJA MÍNIMA DE SEGURIDAD</t>
        </is>
      </c>
    </row>
    <row r="28" ht="14.25" customHeight="1" s="134">
      <c r="A28" s="12" t="inlineStr">
        <is>
          <t>Caja mínima de seguridad (1,5× egresos fijos mensuales — criterio C_CUPO_Y_ALERTA)</t>
        </is>
      </c>
      <c r="B28" s="35">
        <f>1.5*B25</f>
        <v/>
      </c>
    </row>
    <row r="29" ht="14.25" customHeight="1" s="134"/>
    <row r="30" ht="14.25" customHeight="1" s="134">
      <c r="A30" s="152" t="inlineStr">
        <is>
          <t>6. OBRA — RUBROS PENDIENTES (fuente: Presupuesto Bodegas 5-9-26.xlsx, corte 06-sep-2026)</t>
        </is>
      </c>
    </row>
    <row r="31" ht="14.25" customHeight="1" s="134">
      <c r="A31" s="9" t="inlineStr">
        <is>
          <t>Rubro</t>
        </is>
      </c>
      <c r="B31" s="9" t="inlineStr">
        <is>
          <t>Monto pendiente USD</t>
        </is>
      </c>
      <c r="C31" s="9" t="n"/>
      <c r="D31" s="9" t="inlineStr">
        <is>
          <t>Nota</t>
        </is>
      </c>
    </row>
    <row r="32" ht="14.25" customHeight="1" s="134">
      <c r="A32" s="12" t="inlineStr">
        <is>
          <t>Pendiente Tapia (estructura)</t>
        </is>
      </c>
      <c r="B32" s="13" t="n">
        <v>2784</v>
      </c>
      <c r="D32" s="138" t="n"/>
    </row>
    <row r="33" ht="14.25" customHeight="1" s="134">
      <c r="A33" s="12" t="inlineStr">
        <is>
          <t>Pendiente Flores (piso, pozo séptico, emblocado)</t>
        </is>
      </c>
      <c r="B33" s="13" t="n">
        <v>15407.28</v>
      </c>
      <c r="D33" s="138" t="n"/>
    </row>
    <row r="34" ht="14.25" customHeight="1" s="134">
      <c r="A34" s="12" t="inlineStr">
        <is>
          <t>Pendiente Chinchi (eléctrico)</t>
        </is>
      </c>
      <c r="B34" s="13" t="n">
        <v>2677.25</v>
      </c>
      <c r="D34" s="138" t="n"/>
    </row>
    <row r="35" ht="14.25" customHeight="1" s="134">
      <c r="A35" s="12" t="inlineStr">
        <is>
          <t>Adoquinado — mano de obra</t>
        </is>
      </c>
      <c r="B35" s="13" t="n">
        <v>11210</v>
      </c>
      <c r="D35" s="138" t="n"/>
    </row>
    <row r="36" ht="14.25" customHeight="1" s="134">
      <c r="A36" s="12" t="inlineStr">
        <is>
          <t>Adoquinado — material</t>
        </is>
      </c>
      <c r="B36" s="13" t="n">
        <v>22520</v>
      </c>
      <c r="D36" s="138" t="inlineStr">
        <is>
          <t>Negociable a crédito de proveedor 30-60-90 en vez de contado.</t>
        </is>
      </c>
    </row>
    <row r="37" ht="14.25" customHeight="1" s="134">
      <c r="A37" s="12" t="inlineStr">
        <is>
          <t>400 m² nuevos — cimentación y estructura (40%)</t>
        </is>
      </c>
      <c r="B37" s="13" t="n">
        <v>24480</v>
      </c>
      <c r="D37" s="138" t="inlineStr">
        <is>
          <t>Vivienda tipo 90m²/$84.000 referencial de otro frente; costo aquí es de bodega ~$153/m².</t>
        </is>
      </c>
    </row>
    <row r="38" ht="14.25" customHeight="1" s="134">
      <c r="A38" s="12" t="inlineStr">
        <is>
          <t>400 m² nuevos — obra civil y acabados (60%)</t>
        </is>
      </c>
      <c r="B38" s="13" t="n">
        <v>36720</v>
      </c>
      <c r="D38" s="138" t="n"/>
    </row>
    <row r="39" ht="14.25" customHeight="1" s="134">
      <c r="A39" s="37" t="inlineStr">
        <is>
          <t>TOTAL OBRA PENDIENTE</t>
        </is>
      </c>
      <c r="B39" s="38">
        <f>SUM(B32:B38)</f>
        <v/>
      </c>
    </row>
    <row r="40" ht="14.25" customHeight="1" s="134"/>
    <row r="41" ht="14.25" customHeight="1" s="134">
      <c r="A41" s="153" t="inlineStr">
        <is>
          <t>7. RECONCILIACIÓN — por qué cambió el número frente al corte del 06-sep-2026</t>
        </is>
      </c>
    </row>
    <row r="42" ht="14.25" customHeight="1" s="134">
      <c r="A42" s="154" t="inlineStr">
        <is>
          <t>El corte anterior (hoja 'LIQUIDEZ Y CUPO' de Presupuesto Bodegas 5-9-26.xlsx) usó un solo agregado</t>
        </is>
      </c>
    </row>
    <row r="43" ht="14.25" customHeight="1" s="134">
      <c r="A43" s="154" t="inlineStr">
        <is>
          <t>de egreso fijo mensual ($12.448,23) sobre el Libro Bancos maestro. Este archivo lo desagrega en 6</t>
        </is>
      </c>
    </row>
    <row r="44" ht="14.25" customHeight="1" s="134">
      <c r="A44" s="154" t="inlineStr">
        <is>
          <t>categorías reales tomadas de la hoja A_FLUJO_MENSUAL del archivo guía del 14-ago — un total mayor,</t>
        </is>
      </c>
    </row>
    <row r="45" ht="14.25" customHeight="1" s="134">
      <c r="A45" s="154" t="inlineStr">
        <is>
          <t>porque hace visibles 'mantenimiento de bodegas en operación' e 'impuestos/prediales', que antes</t>
        </is>
      </c>
    </row>
    <row r="46" ht="14.25" customHeight="1" s="134">
      <c r="A46" s="154" t="inlineStr">
        <is>
          <t>quedaban diluidos dentro del agregado. La caja mínima de seguridad (fila 5 de esta hoja) sube de</t>
        </is>
      </c>
    </row>
    <row r="47" ht="14.25" customHeight="1" s="134">
      <c r="A47" s="154" t="inlineStr">
        <is>
          <t>$18.672,35 (corte 06-sep) a la cifra que resulta de 1,5× el nuevo subtotal — y el colchón sobre ese</t>
        </is>
      </c>
    </row>
    <row r="48" ht="14.25" customHeight="1" s="134">
      <c r="A48" s="154" t="inlineStr">
        <is>
          <t>mínimo, con la caja real de hoy, pasa a ser negativo. No es una noticia nueva: la obra sigue</t>
        </is>
      </c>
    </row>
    <row r="49" ht="14.25" customHeight="1" s="134">
      <c r="A49" s="154" t="inlineStr">
        <is>
          <t>corriendo muy por encima de lo que el negocio genera — este ajuste solo lo mide con más precisión.</t>
        </is>
      </c>
    </row>
    <row r="50" ht="14.25" customHeight="1" s="134"/>
    <row r="51" ht="14.25" customHeight="1" s="134">
      <c r="A51" s="155" t="inlineStr">
        <is>
          <t>8. ESCENARIOS (hoja ESCENARIOS) — agregado por el espejo 26-09-2026</t>
        </is>
      </c>
    </row>
    <row r="52" ht="14.25" customHeight="1" s="134">
      <c r="A52" t="inlineStr">
        <is>
          <t>Egreso fijo semanal según PARAMETROS (C25)</t>
        </is>
      </c>
      <c r="B52" s="79">
        <f>C25</f>
        <v/>
      </c>
      <c r="D52" t="inlineStr">
        <is>
          <t>Promedio real ene-jun 2026.</t>
        </is>
      </c>
    </row>
    <row r="53" ht="14.25" customHeight="1" s="134">
      <c r="A53" t="inlineStr">
        <is>
          <t>Ingreso operativo normal de septiembre (sem 1-3, curva de la fila 15)</t>
        </is>
      </c>
      <c r="B53" s="79">
        <f>E15+F15+G15</f>
        <v/>
      </c>
      <c r="D53" t="inlineStr">
        <is>
          <t>Para el escenario "septiembre normal".</t>
        </is>
      </c>
    </row>
    <row r="54" ht="14.25" customHeight="1" s="134">
      <c r="A54" t="inlineStr">
        <is>
          <t>Aporte Agroaéreo por desembolso (referencia para el estrés)</t>
        </is>
      </c>
      <c r="B54" s="156" t="n">
        <v>30000</v>
      </c>
      <c r="D54" t="inlineStr">
        <is>
          <t>Monto usado en el flujo; editable.</t>
        </is>
      </c>
    </row>
    <row r="55" ht="14.25" customHeight="1" s="134"/>
    <row r="56" ht="14.25" customHeight="1" s="134"/>
    <row r="57" ht="14.25" customHeight="1" s="134"/>
    <row r="58" ht="14.25" customHeight="1" s="134"/>
    <row r="59" ht="14.25" customHeight="1" s="134"/>
    <row r="60" ht="14.25" customHeight="1" s="134"/>
    <row r="61" ht="14.25" customHeight="1" s="134"/>
    <row r="62" ht="14.25" customHeight="1" s="134"/>
    <row r="63" ht="14.25" customHeight="1" s="134"/>
    <row r="64" ht="14.25" customHeight="1" s="134"/>
    <row r="65" ht="14.25" customHeight="1" s="134"/>
    <row r="66" ht="14.25" customHeight="1" s="134"/>
    <row r="67" ht="14.25" customHeight="1" s="134"/>
    <row r="68" ht="14.25" customHeight="1" s="134"/>
    <row r="69" ht="14.25" customHeight="1" s="134"/>
    <row r="70" ht="14.25" customHeight="1" s="134"/>
    <row r="71" ht="14.25" customHeight="1" s="134"/>
    <row r="72" ht="14.25" customHeight="1" s="134"/>
    <row r="73" ht="14.25" customHeight="1" s="134"/>
    <row r="74" ht="14.25" customHeight="1" s="134"/>
    <row r="75" ht="14.25" customHeight="1" s="134"/>
    <row r="76" ht="14.25" customHeight="1" s="134"/>
    <row r="77" ht="14.25" customHeight="1" s="134"/>
    <row r="78" ht="14.25" customHeight="1" s="134"/>
    <row r="79" ht="14.25" customHeight="1" s="134"/>
    <row r="80" ht="14.25" customHeight="1" s="134"/>
    <row r="81" ht="14.25" customHeight="1" s="134"/>
    <row r="82" ht="14.25" customHeight="1" s="134"/>
    <row r="83" ht="14.25" customHeight="1" s="134"/>
    <row r="84" ht="14.25" customHeight="1" s="134"/>
    <row r="85" ht="14.25" customHeight="1" s="134"/>
    <row r="86" ht="14.25" customHeight="1" s="134"/>
    <row r="87" ht="14.25" customHeight="1" s="134"/>
    <row r="88" ht="14.25" customHeight="1" s="134"/>
    <row r="89" ht="14.25" customHeight="1" s="134"/>
    <row r="90" ht="14.25" customHeight="1" s="134"/>
    <row r="91" ht="14.25" customHeight="1" s="134"/>
    <row r="92" ht="14.25" customHeight="1" s="134"/>
    <row r="93" ht="14.25" customHeight="1" s="134"/>
    <row r="94" ht="14.25" customHeight="1" s="134"/>
    <row r="95" ht="14.25" customHeight="1" s="134"/>
    <row r="96" ht="14.25" customHeight="1" s="134"/>
    <row r="97" ht="14.25" customHeight="1" s="134"/>
    <row r="98" ht="14.25" customHeight="1" s="134"/>
    <row r="99" ht="14.25" customHeight="1" s="134"/>
    <row r="100" ht="14.25" customHeight="1" s="134"/>
    <row r="101" ht="14.25" customHeight="1" s="134"/>
    <row r="102" ht="14.25" customHeight="1" s="134"/>
    <row r="103" ht="14.25" customHeight="1" s="134"/>
    <row r="104" ht="14.25" customHeight="1" s="134"/>
    <row r="105" ht="14.25" customHeight="1" s="134"/>
    <row r="106" ht="14.25" customHeight="1" s="134"/>
    <row r="107" ht="14.25" customHeight="1" s="134"/>
    <row r="108" ht="14.25" customHeight="1" s="134"/>
    <row r="109" ht="14.25" customHeight="1" s="134"/>
    <row r="110" ht="14.25" customHeight="1" s="134"/>
    <row r="111" ht="14.25" customHeight="1" s="134"/>
    <row r="112" ht="14.25" customHeight="1" s="134"/>
    <row r="113" ht="14.25" customHeight="1" s="134"/>
    <row r="114" ht="14.25" customHeight="1" s="134"/>
    <row r="115" ht="14.25" customHeight="1" s="134"/>
    <row r="116" ht="14.25" customHeight="1" s="134"/>
    <row r="117" ht="14.25" customHeight="1" s="134"/>
    <row r="118" ht="14.25" customHeight="1" s="134"/>
    <row r="119" ht="14.25" customHeight="1" s="134"/>
    <row r="120" ht="14.25" customHeight="1" s="134"/>
    <row r="121" ht="14.25" customHeight="1" s="134"/>
    <row r="122" ht="14.25" customHeight="1" s="134"/>
    <row r="123" ht="14.25" customHeight="1" s="134"/>
    <row r="124" ht="14.25" customHeight="1" s="134"/>
    <row r="125" ht="14.25" customHeight="1" s="134"/>
    <row r="126" ht="14.25" customHeight="1" s="134"/>
    <row r="127" ht="14.25" customHeight="1" s="134"/>
    <row r="128" ht="14.25" customHeight="1" s="134"/>
    <row r="129" ht="14.25" customHeight="1" s="134"/>
    <row r="130" ht="14.25" customHeight="1" s="134"/>
    <row r="131" ht="14.25" customHeight="1" s="134"/>
    <row r="132" ht="14.25" customHeight="1" s="134"/>
    <row r="133" ht="14.25" customHeight="1" s="134"/>
    <row r="134" ht="14.25" customHeight="1" s="134"/>
    <row r="135" ht="14.25" customHeight="1" s="134"/>
    <row r="136" ht="14.25" customHeight="1" s="134"/>
    <row r="137" ht="14.25" customHeight="1" s="134"/>
    <row r="138" ht="14.25" customHeight="1" s="134"/>
    <row r="139" ht="14.25" customHeight="1" s="134"/>
    <row r="140" ht="14.25" customHeight="1" s="134"/>
    <row r="141" ht="14.25" customHeight="1" s="134"/>
    <row r="142" ht="14.25" customHeight="1" s="134"/>
    <row r="143" ht="14.25" customHeight="1" s="134"/>
    <row r="144" ht="14.25" customHeight="1" s="134"/>
    <row r="145" ht="14.25" customHeight="1" s="134"/>
    <row r="146" ht="14.25" customHeight="1" s="134"/>
    <row r="147" ht="14.25" customHeight="1" s="134"/>
    <row r="148" ht="14.25" customHeight="1" s="134"/>
    <row r="149" ht="14.25" customHeight="1" s="134"/>
    <row r="150" ht="14.25" customHeight="1" s="134"/>
    <row r="151" ht="14.25" customHeight="1" s="134"/>
    <row r="152" ht="14.25" customHeight="1" s="134"/>
    <row r="153" ht="14.25" customHeight="1" s="134"/>
    <row r="154" ht="14.25" customHeight="1" s="134"/>
    <row r="155" ht="14.25" customHeight="1" s="134"/>
    <row r="156" ht="14.25" customHeight="1" s="134"/>
    <row r="157" ht="14.25" customHeight="1" s="134"/>
    <row r="158" ht="14.25" customHeight="1" s="134"/>
    <row r="159" ht="14.25" customHeight="1" s="134"/>
    <row r="160" ht="14.25" customHeight="1" s="134"/>
    <row r="161" ht="14.25" customHeight="1" s="134"/>
    <row r="162" ht="14.25" customHeight="1" s="134"/>
    <row r="163" ht="14.25" customHeight="1" s="134"/>
    <row r="164" ht="14.25" customHeight="1" s="134"/>
    <row r="165" ht="14.25" customHeight="1" s="134"/>
    <row r="166" ht="14.25" customHeight="1" s="134"/>
    <row r="167" ht="14.25" customHeight="1" s="134"/>
    <row r="168" ht="14.25" customHeight="1" s="134"/>
    <row r="169" ht="14.25" customHeight="1" s="134"/>
    <row r="170" ht="14.25" customHeight="1" s="134"/>
    <row r="171" ht="14.25" customHeight="1" s="134"/>
    <row r="172" ht="14.25" customHeight="1" s="134"/>
    <row r="173" ht="14.25" customHeight="1" s="134"/>
    <row r="174" ht="14.25" customHeight="1" s="134"/>
    <row r="175" ht="14.25" customHeight="1" s="134"/>
    <row r="176" ht="14.25" customHeight="1" s="134"/>
    <row r="177" ht="14.25" customHeight="1" s="134"/>
    <row r="178" ht="14.25" customHeight="1" s="134"/>
    <row r="179" ht="14.25" customHeight="1" s="134"/>
    <row r="180" ht="14.25" customHeight="1" s="134"/>
    <row r="181" ht="14.25" customHeight="1" s="134"/>
    <row r="182" ht="14.25" customHeight="1" s="134"/>
    <row r="183" ht="14.25" customHeight="1" s="134"/>
    <row r="184" ht="14.25" customHeight="1" s="134"/>
    <row r="185" ht="14.25" customHeight="1" s="134"/>
    <row r="186" ht="14.25" customHeight="1" s="134"/>
    <row r="187" ht="14.25" customHeight="1" s="134"/>
    <row r="188" ht="14.25" customHeight="1" s="134"/>
    <row r="189" ht="14.25" customHeight="1" s="134"/>
    <row r="190" ht="14.25" customHeight="1" s="134"/>
    <row r="191" ht="14.25" customHeight="1" s="134"/>
    <row r="192" ht="14.25" customHeight="1" s="134"/>
    <row r="193" ht="14.25" customHeight="1" s="134"/>
    <row r="194" ht="14.25" customHeight="1" s="134"/>
    <row r="195" ht="14.25" customHeight="1" s="134"/>
    <row r="196" ht="14.25" customHeight="1" s="134"/>
    <row r="197" ht="14.25" customHeight="1" s="134"/>
    <row r="198" ht="14.25" customHeight="1" s="134"/>
    <row r="199" ht="14.25" customHeight="1" s="134"/>
    <row r="200" ht="14.25" customHeight="1" s="134"/>
    <row r="201" ht="14.25" customHeight="1" s="134"/>
    <row r="202" ht="14.25" customHeight="1" s="134"/>
    <row r="203" ht="14.25" customHeight="1" s="134"/>
    <row r="204" ht="14.25" customHeight="1" s="134"/>
    <row r="205" ht="14.25" customHeight="1" s="134"/>
    <row r="206" ht="14.25" customHeight="1" s="134"/>
    <row r="207" ht="14.25" customHeight="1" s="134"/>
    <row r="208" ht="14.25" customHeight="1" s="134"/>
    <row r="209" ht="14.25" customHeight="1" s="134"/>
    <row r="210" ht="14.25" customHeight="1" s="134"/>
    <row r="211" ht="14.25" customHeight="1" s="134"/>
    <row r="212" ht="14.25" customHeight="1" s="134"/>
    <row r="213" ht="14.25" customHeight="1" s="134"/>
    <row r="214" ht="14.25" customHeight="1" s="134"/>
    <row r="215" ht="14.25" customHeight="1" s="134"/>
    <row r="216" ht="14.25" customHeight="1" s="134"/>
    <row r="217" ht="14.25" customHeight="1" s="134"/>
    <row r="218" ht="14.25" customHeight="1" s="134"/>
    <row r="219" ht="14.25" customHeight="1" s="134"/>
    <row r="220" ht="14.25" customHeight="1" s="134"/>
    <row r="221" ht="14.25" customHeight="1" s="134"/>
    <row r="222" ht="14.25" customHeight="1" s="134"/>
    <row r="223" ht="14.25" customHeight="1" s="134"/>
    <row r="224" ht="14.25" customHeight="1" s="134"/>
    <row r="225" ht="14.25" customHeight="1" s="134"/>
    <row r="226" ht="14.25" customHeight="1" s="134"/>
    <row r="227" ht="14.25" customHeight="1" s="134"/>
    <row r="228" ht="14.25" customHeight="1" s="134"/>
    <row r="229" ht="14.25" customHeight="1" s="134"/>
    <row r="230" ht="14.25" customHeight="1" s="134"/>
    <row r="231" ht="14.25" customHeight="1" s="134"/>
    <row r="232" ht="14.25" customHeight="1" s="134"/>
    <row r="233" ht="14.25" customHeight="1" s="134"/>
    <row r="234" ht="14.25" customHeight="1" s="134"/>
    <row r="235" ht="14.25" customHeight="1" s="134"/>
    <row r="236" ht="14.25" customHeight="1" s="134"/>
    <row r="237" ht="14.25" customHeight="1" s="134"/>
    <row r="238" ht="14.25" customHeight="1" s="134"/>
    <row r="239" ht="14.25" customHeight="1" s="134"/>
    <row r="240" ht="14.25" customHeight="1" s="134"/>
    <row r="241" ht="14.25" customHeight="1" s="134"/>
    <row r="242" ht="14.25" customHeight="1" s="134"/>
    <row r="243" ht="14.25" customHeight="1" s="134"/>
    <row r="244" ht="14.25" customHeight="1" s="134"/>
    <row r="245" ht="14.25" customHeight="1" s="134"/>
    <row r="246" ht="14.25" customHeight="1" s="134"/>
    <row r="247" ht="14.25" customHeight="1" s="134"/>
    <row r="248" ht="14.25" customHeight="1" s="134"/>
    <row r="249" ht="14.25" customHeight="1" s="134"/>
    <row r="250" ht="14.25" customHeight="1" s="134"/>
    <row r="251" ht="14.25" customHeight="1" s="134"/>
    <row r="252" ht="14.25" customHeight="1" s="134"/>
    <row r="253" ht="14.25" customHeight="1" s="134"/>
    <row r="254" ht="14.25" customHeight="1" s="134"/>
    <row r="255" ht="14.25" customHeight="1" s="134"/>
    <row r="256" ht="14.25" customHeight="1" s="134"/>
    <row r="257" ht="14.25" customHeight="1" s="134"/>
    <row r="258" ht="14.25" customHeight="1" s="134"/>
    <row r="259" ht="14.25" customHeight="1" s="134"/>
    <row r="260" ht="14.25" customHeight="1" s="134"/>
    <row r="261" ht="14.25" customHeight="1" s="134"/>
    <row r="262" ht="14.25" customHeight="1" s="134"/>
    <row r="263" ht="14.25" customHeight="1" s="134"/>
    <row r="264" ht="14.25" customHeight="1" s="134"/>
    <row r="265" ht="14.25" customHeight="1" s="134"/>
    <row r="266" ht="14.25" customHeight="1" s="134"/>
    <row r="267" ht="14.25" customHeight="1" s="134"/>
    <row r="268" ht="14.25" customHeight="1" s="134"/>
    <row r="269" ht="14.25" customHeight="1" s="134"/>
    <row r="270" ht="14.25" customHeight="1" s="134"/>
    <row r="271" ht="14.25" customHeight="1" s="134"/>
    <row r="272" ht="14.25" customHeight="1" s="134"/>
    <row r="273" ht="14.25" customHeight="1" s="134"/>
    <row r="274" ht="14.25" customHeight="1" s="134"/>
    <row r="275" ht="14.25" customHeight="1" s="134"/>
    <row r="276" ht="14.25" customHeight="1" s="134"/>
    <row r="277" ht="14.25" customHeight="1" s="134"/>
    <row r="278" ht="14.25" customHeight="1" s="134"/>
    <row r="279" ht="14.25" customHeight="1" s="134"/>
    <row r="280" ht="14.25" customHeight="1" s="134"/>
    <row r="281" ht="14.25" customHeight="1" s="134"/>
    <row r="282" ht="14.25" customHeight="1" s="134"/>
    <row r="283" ht="14.25" customHeight="1" s="134"/>
    <row r="284" ht="14.25" customHeight="1" s="134"/>
    <row r="285" ht="14.25" customHeight="1" s="134"/>
    <row r="286" ht="14.25" customHeight="1" s="134"/>
    <row r="287" ht="14.25" customHeight="1" s="134"/>
    <row r="288" ht="14.25" customHeight="1" s="134"/>
    <row r="289" ht="14.25" customHeight="1" s="134"/>
    <row r="290" ht="14.25" customHeight="1" s="134"/>
    <row r="291" ht="14.25" customHeight="1" s="134"/>
    <row r="292" ht="14.25" customHeight="1" s="134"/>
    <row r="293" ht="14.25" customHeight="1" s="134"/>
    <row r="294" ht="14.25" customHeight="1" s="134"/>
    <row r="295" ht="14.25" customHeight="1" s="134"/>
    <row r="296" ht="14.25" customHeight="1" s="134"/>
    <row r="297" ht="14.25" customHeight="1" s="134"/>
    <row r="298" ht="14.25" customHeight="1" s="134"/>
    <row r="299" ht="14.25" customHeight="1" s="134"/>
    <row r="300" ht="14.25" customHeight="1" s="134"/>
    <row r="301" ht="14.25" customHeight="1" s="134"/>
    <row r="302" ht="14.25" customHeight="1" s="134"/>
    <row r="303" ht="14.25" customHeight="1" s="134"/>
    <row r="304" ht="14.25" customHeight="1" s="134"/>
    <row r="305" ht="14.25" customHeight="1" s="134"/>
    <row r="306" ht="14.25" customHeight="1" s="134"/>
    <row r="307" ht="14.25" customHeight="1" s="134"/>
    <row r="308" ht="14.25" customHeight="1" s="134"/>
    <row r="309" ht="14.25" customHeight="1" s="134"/>
    <row r="310" ht="14.25" customHeight="1" s="134"/>
    <row r="311" ht="14.25" customHeight="1" s="134"/>
    <row r="312" ht="14.25" customHeight="1" s="134"/>
    <row r="313" ht="14.25" customHeight="1" s="134"/>
    <row r="314" ht="14.25" customHeight="1" s="134"/>
    <row r="315" ht="14.25" customHeight="1" s="134"/>
    <row r="316" ht="14.25" customHeight="1" s="134"/>
    <row r="317" ht="14.25" customHeight="1" s="134"/>
    <row r="318" ht="14.25" customHeight="1" s="134"/>
    <row r="319" ht="14.25" customHeight="1" s="134"/>
    <row r="320" ht="14.25" customHeight="1" s="134"/>
    <row r="321" ht="14.25" customHeight="1" s="134"/>
    <row r="322" ht="14.25" customHeight="1" s="134"/>
    <row r="323" ht="14.25" customHeight="1" s="134"/>
    <row r="324" ht="14.25" customHeight="1" s="134"/>
    <row r="325" ht="14.25" customHeight="1" s="134"/>
    <row r="326" ht="14.25" customHeight="1" s="134"/>
    <row r="327" ht="14.25" customHeight="1" s="134"/>
    <row r="328" ht="14.25" customHeight="1" s="134"/>
    <row r="329" ht="14.25" customHeight="1" s="134"/>
    <row r="330" ht="14.25" customHeight="1" s="134"/>
    <row r="331" ht="14.25" customHeight="1" s="134"/>
    <row r="332" ht="14.25" customHeight="1" s="134"/>
    <row r="333" ht="14.25" customHeight="1" s="134"/>
    <row r="334" ht="14.25" customHeight="1" s="134"/>
    <row r="335" ht="14.25" customHeight="1" s="134"/>
    <row r="336" ht="14.25" customHeight="1" s="134"/>
    <row r="337" ht="14.25" customHeight="1" s="134"/>
    <row r="338" ht="14.25" customHeight="1" s="134"/>
    <row r="339" ht="14.25" customHeight="1" s="134"/>
    <row r="340" ht="14.25" customHeight="1" s="134"/>
    <row r="341" ht="14.25" customHeight="1" s="134"/>
    <row r="342" ht="14.25" customHeight="1" s="134"/>
    <row r="343" ht="14.25" customHeight="1" s="134"/>
    <row r="344" ht="14.25" customHeight="1" s="134"/>
    <row r="345" ht="14.25" customHeight="1" s="134"/>
    <row r="346" ht="14.25" customHeight="1" s="134"/>
    <row r="347" ht="14.25" customHeight="1" s="134"/>
    <row r="348" ht="14.25" customHeight="1" s="134"/>
    <row r="349" ht="14.25" customHeight="1" s="134"/>
    <row r="350" ht="14.25" customHeight="1" s="134"/>
    <row r="351" ht="14.25" customHeight="1" s="134"/>
    <row r="352" ht="14.25" customHeight="1" s="134"/>
    <row r="353" ht="14.25" customHeight="1" s="134"/>
    <row r="354" ht="14.25" customHeight="1" s="134"/>
    <row r="355" ht="14.25" customHeight="1" s="134"/>
    <row r="356" ht="14.25" customHeight="1" s="134"/>
    <row r="357" ht="14.25" customHeight="1" s="134"/>
    <row r="358" ht="14.25" customHeight="1" s="134"/>
    <row r="359" ht="14.25" customHeight="1" s="134"/>
    <row r="360" ht="14.25" customHeight="1" s="134"/>
    <row r="361" ht="14.25" customHeight="1" s="134"/>
    <row r="362" ht="14.25" customHeight="1" s="134"/>
    <row r="363" ht="14.25" customHeight="1" s="134"/>
    <row r="364" ht="14.25" customHeight="1" s="134"/>
    <row r="365" ht="14.25" customHeight="1" s="134"/>
    <row r="366" ht="14.25" customHeight="1" s="134"/>
    <row r="367" ht="14.25" customHeight="1" s="134"/>
    <row r="368" ht="14.25" customHeight="1" s="134"/>
    <row r="369" ht="14.25" customHeight="1" s="134"/>
    <row r="370" ht="14.25" customHeight="1" s="134"/>
    <row r="371" ht="14.25" customHeight="1" s="134"/>
    <row r="372" ht="14.25" customHeight="1" s="134"/>
    <row r="373" ht="14.25" customHeight="1" s="134"/>
    <row r="374" ht="14.25" customHeight="1" s="134"/>
    <row r="375" ht="14.25" customHeight="1" s="134"/>
    <row r="376" ht="14.25" customHeight="1" s="134"/>
    <row r="377" ht="14.25" customHeight="1" s="134"/>
    <row r="378" ht="14.25" customHeight="1" s="134"/>
    <row r="379" ht="14.25" customHeight="1" s="134"/>
    <row r="380" ht="14.25" customHeight="1" s="134"/>
    <row r="381" ht="14.25" customHeight="1" s="134"/>
    <row r="382" ht="14.25" customHeight="1" s="134"/>
    <row r="383" ht="14.25" customHeight="1" s="134"/>
    <row r="384" ht="14.25" customHeight="1" s="134"/>
    <row r="385" ht="14.25" customHeight="1" s="134"/>
    <row r="386" ht="14.25" customHeight="1" s="134"/>
    <row r="387" ht="14.25" customHeight="1" s="134"/>
    <row r="388" ht="14.25" customHeight="1" s="134"/>
    <row r="389" ht="14.25" customHeight="1" s="134"/>
    <row r="390" ht="14.25" customHeight="1" s="134"/>
    <row r="391" ht="14.25" customHeight="1" s="134"/>
    <row r="392" ht="14.25" customHeight="1" s="134"/>
    <row r="393" ht="14.25" customHeight="1" s="134"/>
    <row r="394" ht="14.25" customHeight="1" s="134"/>
    <row r="395" ht="14.25" customHeight="1" s="134"/>
    <row r="396" ht="14.25" customHeight="1" s="134"/>
    <row r="397" ht="14.25" customHeight="1" s="134"/>
    <row r="398" ht="14.25" customHeight="1" s="134"/>
    <row r="399" ht="14.25" customHeight="1" s="134"/>
    <row r="400" ht="14.25" customHeight="1" s="134"/>
    <row r="401" ht="14.25" customHeight="1" s="134"/>
    <row r="402" ht="14.25" customHeight="1" s="134"/>
    <row r="403" ht="14.25" customHeight="1" s="134"/>
    <row r="404" ht="14.25" customHeight="1" s="134"/>
    <row r="405" ht="14.25" customHeight="1" s="134"/>
    <row r="406" ht="14.25" customHeight="1" s="134"/>
    <row r="407" ht="14.25" customHeight="1" s="134"/>
    <row r="408" ht="14.25" customHeight="1" s="134"/>
    <row r="409" ht="14.25" customHeight="1" s="134"/>
    <row r="410" ht="14.25" customHeight="1" s="134"/>
    <row r="411" ht="14.25" customHeight="1" s="134"/>
    <row r="412" ht="14.25" customHeight="1" s="134"/>
    <row r="413" ht="14.25" customHeight="1" s="134"/>
    <row r="414" ht="14.25" customHeight="1" s="134"/>
    <row r="415" ht="14.25" customHeight="1" s="134"/>
    <row r="416" ht="14.25" customHeight="1" s="134"/>
    <row r="417" ht="14.25" customHeight="1" s="134"/>
    <row r="418" ht="14.25" customHeight="1" s="134"/>
    <row r="419" ht="14.25" customHeight="1" s="134"/>
    <row r="420" ht="14.25" customHeight="1" s="134"/>
    <row r="421" ht="14.25" customHeight="1" s="134"/>
    <row r="422" ht="14.25" customHeight="1" s="134"/>
    <row r="423" ht="14.25" customHeight="1" s="134"/>
    <row r="424" ht="14.25" customHeight="1" s="134"/>
    <row r="425" ht="14.25" customHeight="1" s="134"/>
    <row r="426" ht="14.25" customHeight="1" s="134"/>
    <row r="427" ht="14.25" customHeight="1" s="134"/>
    <row r="428" ht="14.25" customHeight="1" s="134"/>
    <row r="429" ht="14.25" customHeight="1" s="134"/>
    <row r="430" ht="14.25" customHeight="1" s="134"/>
    <row r="431" ht="14.25" customHeight="1" s="134"/>
    <row r="432" ht="14.25" customHeight="1" s="134"/>
    <row r="433" ht="14.25" customHeight="1" s="134"/>
    <row r="434" ht="14.25" customHeight="1" s="134"/>
    <row r="435" ht="14.25" customHeight="1" s="134"/>
    <row r="436" ht="14.25" customHeight="1" s="134"/>
    <row r="437" ht="14.25" customHeight="1" s="134"/>
    <row r="438" ht="14.25" customHeight="1" s="134"/>
    <row r="439" ht="14.25" customHeight="1" s="134"/>
    <row r="440" ht="14.25" customHeight="1" s="134"/>
    <row r="441" ht="14.25" customHeight="1" s="134"/>
    <row r="442" ht="14.25" customHeight="1" s="134"/>
    <row r="443" ht="14.25" customHeight="1" s="134"/>
    <row r="444" ht="14.25" customHeight="1" s="134"/>
    <row r="445" ht="14.25" customHeight="1" s="134"/>
    <row r="446" ht="14.25" customHeight="1" s="134"/>
    <row r="447" ht="14.25" customHeight="1" s="134"/>
    <row r="448" ht="14.25" customHeight="1" s="134"/>
    <row r="449" ht="14.25" customHeight="1" s="134"/>
    <row r="450" ht="14.25" customHeight="1" s="134"/>
    <row r="451" ht="14.25" customHeight="1" s="134"/>
    <row r="452" ht="14.25" customHeight="1" s="134"/>
    <row r="453" ht="14.25" customHeight="1" s="134"/>
    <row r="454" ht="14.25" customHeight="1" s="134"/>
    <row r="455" ht="14.25" customHeight="1" s="134"/>
    <row r="456" ht="14.25" customHeight="1" s="134"/>
    <row r="457" ht="14.25" customHeight="1" s="134"/>
    <row r="458" ht="14.25" customHeight="1" s="134"/>
    <row r="459" ht="14.25" customHeight="1" s="134"/>
    <row r="460" ht="14.25" customHeight="1" s="134"/>
    <row r="461" ht="14.25" customHeight="1" s="134"/>
    <row r="462" ht="14.25" customHeight="1" s="134"/>
    <row r="463" ht="14.25" customHeight="1" s="134"/>
    <row r="464" ht="14.25" customHeight="1" s="134"/>
    <row r="465" ht="14.25" customHeight="1" s="134"/>
    <row r="466" ht="14.25" customHeight="1" s="134"/>
    <row r="467" ht="14.25" customHeight="1" s="134"/>
    <row r="468" ht="14.25" customHeight="1" s="134"/>
    <row r="469" ht="14.25" customHeight="1" s="134"/>
    <row r="470" ht="14.25" customHeight="1" s="134"/>
    <row r="471" ht="14.25" customHeight="1" s="134"/>
    <row r="472" ht="14.25" customHeight="1" s="134"/>
    <row r="473" ht="14.25" customHeight="1" s="134"/>
    <row r="474" ht="14.25" customHeight="1" s="134"/>
    <row r="475" ht="14.25" customHeight="1" s="134"/>
    <row r="476" ht="14.25" customHeight="1" s="134"/>
    <row r="477" ht="14.25" customHeight="1" s="134"/>
    <row r="478" ht="14.25" customHeight="1" s="134"/>
    <row r="479" ht="14.25" customHeight="1" s="134"/>
    <row r="480" ht="14.25" customHeight="1" s="134"/>
    <row r="481" ht="14.25" customHeight="1" s="134"/>
    <row r="482" ht="14.25" customHeight="1" s="134"/>
    <row r="483" ht="14.25" customHeight="1" s="134"/>
    <row r="484" ht="14.25" customHeight="1" s="134"/>
    <row r="485" ht="14.25" customHeight="1" s="134"/>
    <row r="486" ht="14.25" customHeight="1" s="134"/>
    <row r="487" ht="14.25" customHeight="1" s="134"/>
    <row r="488" ht="14.25" customHeight="1" s="134"/>
    <row r="489" ht="14.25" customHeight="1" s="134"/>
    <row r="490" ht="14.25" customHeight="1" s="134"/>
    <row r="491" ht="14.25" customHeight="1" s="134"/>
    <row r="492" ht="14.25" customHeight="1" s="134"/>
    <row r="493" ht="14.25" customHeight="1" s="134"/>
    <row r="494" ht="14.25" customHeight="1" s="134"/>
    <row r="495" ht="14.25" customHeight="1" s="134"/>
    <row r="496" ht="14.25" customHeight="1" s="134"/>
    <row r="497" ht="14.25" customHeight="1" s="134"/>
    <row r="498" ht="14.25" customHeight="1" s="134"/>
    <row r="499" ht="14.25" customHeight="1" s="134"/>
    <row r="500" ht="14.25" customHeight="1" s="134"/>
    <row r="501" ht="14.25" customHeight="1" s="134"/>
    <row r="502" ht="14.25" customHeight="1" s="134"/>
    <row r="503" ht="14.25" customHeight="1" s="134"/>
    <row r="504" ht="14.25" customHeight="1" s="134"/>
    <row r="505" ht="14.25" customHeight="1" s="134"/>
    <row r="506" ht="14.25" customHeight="1" s="134"/>
    <row r="507" ht="14.25" customHeight="1" s="134"/>
    <row r="508" ht="14.25" customHeight="1" s="134"/>
    <row r="509" ht="14.25" customHeight="1" s="134"/>
    <row r="510" ht="14.25" customHeight="1" s="134"/>
    <row r="511" ht="14.25" customHeight="1" s="134"/>
    <row r="512" ht="14.25" customHeight="1" s="134"/>
    <row r="513" ht="14.25" customHeight="1" s="134"/>
    <row r="514" ht="14.25" customHeight="1" s="134"/>
    <row r="515" ht="14.25" customHeight="1" s="134"/>
    <row r="516" ht="14.25" customHeight="1" s="134"/>
    <row r="517" ht="14.25" customHeight="1" s="134"/>
    <row r="518" ht="14.25" customHeight="1" s="134"/>
    <row r="519" ht="14.25" customHeight="1" s="134"/>
    <row r="520" ht="14.25" customHeight="1" s="134"/>
    <row r="521" ht="14.25" customHeight="1" s="134"/>
    <row r="522" ht="14.25" customHeight="1" s="134"/>
    <row r="523" ht="14.25" customHeight="1" s="134"/>
    <row r="524" ht="14.25" customHeight="1" s="134"/>
    <row r="525" ht="14.25" customHeight="1" s="134"/>
    <row r="526" ht="14.25" customHeight="1" s="134"/>
    <row r="527" ht="14.25" customHeight="1" s="134"/>
    <row r="528" ht="14.25" customHeight="1" s="134"/>
    <row r="529" ht="14.25" customHeight="1" s="134"/>
    <row r="530" ht="14.25" customHeight="1" s="134"/>
    <row r="531" ht="14.25" customHeight="1" s="134"/>
    <row r="532" ht="14.25" customHeight="1" s="134"/>
    <row r="533" ht="14.25" customHeight="1" s="134"/>
    <row r="534" ht="14.25" customHeight="1" s="134"/>
    <row r="535" ht="14.25" customHeight="1" s="134"/>
    <row r="536" ht="14.25" customHeight="1" s="134"/>
    <row r="537" ht="14.25" customHeight="1" s="134"/>
    <row r="538" ht="14.25" customHeight="1" s="134"/>
    <row r="539" ht="14.25" customHeight="1" s="134"/>
    <row r="540" ht="14.25" customHeight="1" s="134"/>
    <row r="541" ht="14.25" customHeight="1" s="134"/>
    <row r="542" ht="14.25" customHeight="1" s="134"/>
    <row r="543" ht="14.25" customHeight="1" s="134"/>
    <row r="544" ht="14.25" customHeight="1" s="134"/>
    <row r="545" ht="14.25" customHeight="1" s="134"/>
    <row r="546" ht="14.25" customHeight="1" s="134"/>
    <row r="547" ht="14.25" customHeight="1" s="134"/>
    <row r="548" ht="14.25" customHeight="1" s="134"/>
    <row r="549" ht="14.25" customHeight="1" s="134"/>
    <row r="550" ht="14.25" customHeight="1" s="134"/>
    <row r="551" ht="14.25" customHeight="1" s="134"/>
    <row r="552" ht="14.25" customHeight="1" s="134"/>
    <row r="553" ht="14.25" customHeight="1" s="134"/>
    <row r="554" ht="14.25" customHeight="1" s="134"/>
    <row r="555" ht="14.25" customHeight="1" s="134"/>
    <row r="556" ht="14.25" customHeight="1" s="134"/>
    <row r="557" ht="14.25" customHeight="1" s="134"/>
    <row r="558" ht="14.25" customHeight="1" s="134"/>
    <row r="559" ht="14.25" customHeight="1" s="134"/>
    <row r="560" ht="14.25" customHeight="1" s="134"/>
    <row r="561" ht="14.25" customHeight="1" s="134"/>
    <row r="562" ht="14.25" customHeight="1" s="134"/>
    <row r="563" ht="14.25" customHeight="1" s="134"/>
    <row r="564" ht="14.25" customHeight="1" s="134"/>
    <row r="565" ht="14.25" customHeight="1" s="134"/>
    <row r="566" ht="14.25" customHeight="1" s="134"/>
    <row r="567" ht="14.25" customHeight="1" s="134"/>
    <row r="568" ht="14.25" customHeight="1" s="134"/>
    <row r="569" ht="14.25" customHeight="1" s="134"/>
    <row r="570" ht="14.25" customHeight="1" s="134"/>
    <row r="571" ht="14.25" customHeight="1" s="134"/>
    <row r="572" ht="14.25" customHeight="1" s="134"/>
    <row r="573" ht="14.25" customHeight="1" s="134"/>
    <row r="574" ht="14.25" customHeight="1" s="134"/>
    <row r="575" ht="14.25" customHeight="1" s="134"/>
    <row r="576" ht="14.25" customHeight="1" s="134"/>
    <row r="577" ht="14.25" customHeight="1" s="134"/>
    <row r="578" ht="14.25" customHeight="1" s="134"/>
    <row r="579" ht="14.25" customHeight="1" s="134"/>
    <row r="580" ht="14.25" customHeight="1" s="134"/>
    <row r="581" ht="14.25" customHeight="1" s="134"/>
    <row r="582" ht="14.25" customHeight="1" s="134"/>
    <row r="583" ht="14.25" customHeight="1" s="134"/>
    <row r="584" ht="14.25" customHeight="1" s="134"/>
    <row r="585" ht="14.25" customHeight="1" s="134"/>
    <row r="586" ht="14.25" customHeight="1" s="134"/>
    <row r="587" ht="14.25" customHeight="1" s="134"/>
    <row r="588" ht="14.25" customHeight="1" s="134"/>
    <row r="589" ht="14.25" customHeight="1" s="134"/>
    <row r="590" ht="14.25" customHeight="1" s="134"/>
    <row r="591" ht="14.25" customHeight="1" s="134"/>
    <row r="592" ht="14.25" customHeight="1" s="134"/>
    <row r="593" ht="14.25" customHeight="1" s="134"/>
    <row r="594" ht="14.25" customHeight="1" s="134"/>
    <row r="595" ht="14.25" customHeight="1" s="134"/>
    <row r="596" ht="14.25" customHeight="1" s="134"/>
    <row r="597" ht="14.25" customHeight="1" s="134"/>
    <row r="598" ht="14.25" customHeight="1" s="134"/>
    <row r="599" ht="14.25" customHeight="1" s="134"/>
    <row r="600" ht="14.25" customHeight="1" s="134"/>
    <row r="601" ht="14.25" customHeight="1" s="134"/>
    <row r="602" ht="14.25" customHeight="1" s="134"/>
    <row r="603" ht="14.25" customHeight="1" s="134"/>
    <row r="604" ht="14.25" customHeight="1" s="134"/>
    <row r="605" ht="14.25" customHeight="1" s="134"/>
    <row r="606" ht="14.25" customHeight="1" s="134"/>
    <row r="607" ht="14.25" customHeight="1" s="134"/>
    <row r="608" ht="14.25" customHeight="1" s="134"/>
    <row r="609" ht="14.25" customHeight="1" s="134"/>
    <row r="610" ht="14.25" customHeight="1" s="134"/>
    <row r="611" ht="14.25" customHeight="1" s="134"/>
    <row r="612" ht="14.25" customHeight="1" s="134"/>
    <row r="613" ht="14.25" customHeight="1" s="134"/>
    <row r="614" ht="14.25" customHeight="1" s="134"/>
    <row r="615" ht="14.25" customHeight="1" s="134"/>
    <row r="616" ht="14.25" customHeight="1" s="134"/>
    <row r="617" ht="14.25" customHeight="1" s="134"/>
    <row r="618" ht="14.25" customHeight="1" s="134"/>
    <row r="619" ht="14.25" customHeight="1" s="134"/>
    <row r="620" ht="14.25" customHeight="1" s="134"/>
    <row r="621" ht="14.25" customHeight="1" s="134"/>
    <row r="622" ht="14.25" customHeight="1" s="134"/>
    <row r="623" ht="14.25" customHeight="1" s="134"/>
    <row r="624" ht="14.25" customHeight="1" s="134"/>
    <row r="625" ht="14.25" customHeight="1" s="134"/>
    <row r="626" ht="14.25" customHeight="1" s="134"/>
    <row r="627" ht="14.25" customHeight="1" s="134"/>
    <row r="628" ht="14.25" customHeight="1" s="134"/>
    <row r="629" ht="14.25" customHeight="1" s="134"/>
    <row r="630" ht="14.25" customHeight="1" s="134"/>
    <row r="631" ht="14.25" customHeight="1" s="134"/>
    <row r="632" ht="14.25" customHeight="1" s="134"/>
    <row r="633" ht="14.25" customHeight="1" s="134"/>
    <row r="634" ht="14.25" customHeight="1" s="134"/>
    <row r="635" ht="14.25" customHeight="1" s="134"/>
    <row r="636" ht="14.25" customHeight="1" s="134"/>
    <row r="637" ht="14.25" customHeight="1" s="134"/>
    <row r="638" ht="14.25" customHeight="1" s="134"/>
    <row r="639" ht="14.25" customHeight="1" s="134"/>
    <row r="640" ht="14.25" customHeight="1" s="134"/>
    <row r="641" ht="14.25" customHeight="1" s="134"/>
    <row r="642" ht="14.25" customHeight="1" s="134"/>
    <row r="643" ht="14.25" customHeight="1" s="134"/>
    <row r="644" ht="14.25" customHeight="1" s="134"/>
    <row r="645" ht="14.25" customHeight="1" s="134"/>
    <row r="646" ht="14.25" customHeight="1" s="134"/>
    <row r="647" ht="14.25" customHeight="1" s="134"/>
    <row r="648" ht="14.25" customHeight="1" s="134"/>
    <row r="649" ht="14.25" customHeight="1" s="134"/>
    <row r="650" ht="14.25" customHeight="1" s="134"/>
    <row r="651" ht="14.25" customHeight="1" s="134"/>
    <row r="652" ht="14.25" customHeight="1" s="134"/>
    <row r="653" ht="14.25" customHeight="1" s="134"/>
    <row r="654" ht="14.25" customHeight="1" s="134"/>
    <row r="655" ht="14.25" customHeight="1" s="134"/>
    <row r="656" ht="14.25" customHeight="1" s="134"/>
    <row r="657" ht="14.25" customHeight="1" s="134"/>
    <row r="658" ht="14.25" customHeight="1" s="134"/>
    <row r="659" ht="14.25" customHeight="1" s="134"/>
    <row r="660" ht="14.25" customHeight="1" s="134"/>
    <row r="661" ht="14.25" customHeight="1" s="134"/>
    <row r="662" ht="14.25" customHeight="1" s="134"/>
    <row r="663" ht="14.25" customHeight="1" s="134"/>
    <row r="664" ht="14.25" customHeight="1" s="134"/>
    <row r="665" ht="14.25" customHeight="1" s="134"/>
    <row r="666" ht="14.25" customHeight="1" s="134"/>
    <row r="667" ht="14.25" customHeight="1" s="134"/>
    <row r="668" ht="14.25" customHeight="1" s="134"/>
    <row r="669" ht="14.25" customHeight="1" s="134"/>
    <row r="670" ht="14.25" customHeight="1" s="134"/>
    <row r="671" ht="14.25" customHeight="1" s="134"/>
    <row r="672" ht="14.25" customHeight="1" s="134"/>
    <row r="673" ht="14.25" customHeight="1" s="134"/>
    <row r="674" ht="14.25" customHeight="1" s="134"/>
    <row r="675" ht="14.25" customHeight="1" s="134"/>
    <row r="676" ht="14.25" customHeight="1" s="134"/>
    <row r="677" ht="14.25" customHeight="1" s="134"/>
    <row r="678" ht="14.25" customHeight="1" s="134"/>
    <row r="679" ht="14.25" customHeight="1" s="134"/>
    <row r="680" ht="14.25" customHeight="1" s="134"/>
    <row r="681" ht="14.25" customHeight="1" s="134"/>
    <row r="682" ht="14.25" customHeight="1" s="134"/>
    <row r="683" ht="14.25" customHeight="1" s="134"/>
    <row r="684" ht="14.25" customHeight="1" s="134"/>
    <row r="685" ht="14.25" customHeight="1" s="134"/>
    <row r="686" ht="14.25" customHeight="1" s="134"/>
    <row r="687" ht="14.25" customHeight="1" s="134"/>
    <row r="688" ht="14.25" customHeight="1" s="134"/>
    <row r="689" ht="14.25" customHeight="1" s="134"/>
    <row r="690" ht="14.25" customHeight="1" s="134"/>
    <row r="691" ht="14.25" customHeight="1" s="134"/>
    <row r="692" ht="14.25" customHeight="1" s="134"/>
    <row r="693" ht="14.25" customHeight="1" s="134"/>
    <row r="694" ht="14.25" customHeight="1" s="134"/>
    <row r="695" ht="14.25" customHeight="1" s="134"/>
    <row r="696" ht="14.25" customHeight="1" s="134"/>
    <row r="697" ht="14.25" customHeight="1" s="134"/>
    <row r="698" ht="14.25" customHeight="1" s="134"/>
    <row r="699" ht="14.25" customHeight="1" s="134"/>
    <row r="700" ht="14.25" customHeight="1" s="134"/>
    <row r="701" ht="14.25" customHeight="1" s="134"/>
    <row r="702" ht="14.25" customHeight="1" s="134"/>
    <row r="703" ht="14.25" customHeight="1" s="134"/>
    <row r="704" ht="14.25" customHeight="1" s="134"/>
    <row r="705" ht="14.25" customHeight="1" s="134"/>
    <row r="706" ht="14.25" customHeight="1" s="134"/>
    <row r="707" ht="14.25" customHeight="1" s="134"/>
    <row r="708" ht="14.25" customHeight="1" s="134"/>
    <row r="709" ht="14.25" customHeight="1" s="134"/>
    <row r="710" ht="14.25" customHeight="1" s="134"/>
    <row r="711" ht="14.25" customHeight="1" s="134"/>
    <row r="712" ht="14.25" customHeight="1" s="134"/>
    <row r="713" ht="14.25" customHeight="1" s="134"/>
    <row r="714" ht="14.25" customHeight="1" s="134"/>
    <row r="715" ht="14.25" customHeight="1" s="134"/>
    <row r="716" ht="14.25" customHeight="1" s="134"/>
    <row r="717" ht="14.25" customHeight="1" s="134"/>
    <row r="718" ht="14.25" customHeight="1" s="134"/>
    <row r="719" ht="14.25" customHeight="1" s="134"/>
    <row r="720" ht="14.25" customHeight="1" s="134"/>
    <row r="721" ht="14.25" customHeight="1" s="134"/>
    <row r="722" ht="14.25" customHeight="1" s="134"/>
    <row r="723" ht="14.25" customHeight="1" s="134"/>
    <row r="724" ht="14.25" customHeight="1" s="134"/>
    <row r="725" ht="14.25" customHeight="1" s="134"/>
    <row r="726" ht="14.25" customHeight="1" s="134"/>
    <row r="727" ht="14.25" customHeight="1" s="134"/>
    <row r="728" ht="14.25" customHeight="1" s="134"/>
    <row r="729" ht="14.25" customHeight="1" s="134"/>
    <row r="730" ht="14.25" customHeight="1" s="134"/>
    <row r="731" ht="14.25" customHeight="1" s="134"/>
    <row r="732" ht="14.25" customHeight="1" s="134"/>
    <row r="733" ht="14.25" customHeight="1" s="134"/>
    <row r="734" ht="14.25" customHeight="1" s="134"/>
    <row r="735" ht="14.25" customHeight="1" s="134"/>
    <row r="736" ht="14.25" customHeight="1" s="134"/>
    <row r="737" ht="14.25" customHeight="1" s="134"/>
    <row r="738" ht="14.25" customHeight="1" s="134"/>
    <row r="739" ht="14.25" customHeight="1" s="134"/>
    <row r="740" ht="14.25" customHeight="1" s="134"/>
    <row r="741" ht="14.25" customHeight="1" s="134"/>
    <row r="742" ht="14.25" customHeight="1" s="134"/>
    <row r="743" ht="14.25" customHeight="1" s="134"/>
    <row r="744" ht="14.25" customHeight="1" s="134"/>
    <row r="745" ht="14.25" customHeight="1" s="134"/>
    <row r="746" ht="14.25" customHeight="1" s="134"/>
    <row r="747" ht="14.25" customHeight="1" s="134"/>
    <row r="748" ht="14.25" customHeight="1" s="134"/>
    <row r="749" ht="14.25" customHeight="1" s="134"/>
    <row r="750" ht="14.25" customHeight="1" s="134"/>
    <row r="751" ht="14.25" customHeight="1" s="134"/>
    <row r="752" ht="14.25" customHeight="1" s="134"/>
    <row r="753" ht="14.25" customHeight="1" s="134"/>
    <row r="754" ht="14.25" customHeight="1" s="134"/>
    <row r="755" ht="14.25" customHeight="1" s="134"/>
    <row r="756" ht="14.25" customHeight="1" s="134"/>
    <row r="757" ht="14.25" customHeight="1" s="134"/>
    <row r="758" ht="14.25" customHeight="1" s="134"/>
    <row r="759" ht="14.25" customHeight="1" s="134"/>
    <row r="760" ht="14.25" customHeight="1" s="134"/>
    <row r="761" ht="14.25" customHeight="1" s="134"/>
    <row r="762" ht="14.25" customHeight="1" s="134"/>
    <row r="763" ht="14.25" customHeight="1" s="134"/>
    <row r="764" ht="14.25" customHeight="1" s="134"/>
    <row r="765" ht="14.25" customHeight="1" s="134"/>
    <row r="766" ht="14.25" customHeight="1" s="134"/>
    <row r="767" ht="14.25" customHeight="1" s="134"/>
    <row r="768" ht="14.25" customHeight="1" s="134"/>
    <row r="769" ht="14.25" customHeight="1" s="134"/>
    <row r="770" ht="14.25" customHeight="1" s="134"/>
    <row r="771" ht="14.25" customHeight="1" s="134"/>
    <row r="772" ht="14.25" customHeight="1" s="134"/>
    <row r="773" ht="14.25" customHeight="1" s="134"/>
    <row r="774" ht="14.25" customHeight="1" s="134"/>
    <row r="775" ht="14.25" customHeight="1" s="134"/>
    <row r="776" ht="14.25" customHeight="1" s="134"/>
    <row r="777" ht="14.25" customHeight="1" s="134"/>
    <row r="778" ht="14.25" customHeight="1" s="134"/>
    <row r="779" ht="14.25" customHeight="1" s="134"/>
    <row r="780" ht="14.25" customHeight="1" s="134"/>
    <row r="781" ht="14.25" customHeight="1" s="134"/>
    <row r="782" ht="14.25" customHeight="1" s="134"/>
    <row r="783" ht="14.25" customHeight="1" s="134"/>
    <row r="784" ht="14.25" customHeight="1" s="134"/>
    <row r="785" ht="14.25" customHeight="1" s="134"/>
    <row r="786" ht="14.25" customHeight="1" s="134"/>
    <row r="787" ht="14.25" customHeight="1" s="134"/>
    <row r="788" ht="14.25" customHeight="1" s="134"/>
    <row r="789" ht="14.25" customHeight="1" s="134"/>
    <row r="790" ht="14.25" customHeight="1" s="134"/>
    <row r="791" ht="14.25" customHeight="1" s="134"/>
    <row r="792" ht="14.25" customHeight="1" s="134"/>
    <row r="793" ht="14.25" customHeight="1" s="134"/>
    <row r="794" ht="14.25" customHeight="1" s="134"/>
    <row r="795" ht="14.25" customHeight="1" s="134"/>
    <row r="796" ht="14.25" customHeight="1" s="134"/>
    <row r="797" ht="14.25" customHeight="1" s="134"/>
    <row r="798" ht="14.25" customHeight="1" s="134"/>
    <row r="799" ht="14.25" customHeight="1" s="134"/>
    <row r="800" ht="14.25" customHeight="1" s="134"/>
    <row r="801" ht="14.25" customHeight="1" s="134"/>
    <row r="802" ht="14.25" customHeight="1" s="134"/>
    <row r="803" ht="14.25" customHeight="1" s="134"/>
    <row r="804" ht="14.25" customHeight="1" s="134"/>
    <row r="805" ht="14.25" customHeight="1" s="134"/>
    <row r="806" ht="14.25" customHeight="1" s="134"/>
    <row r="807" ht="14.25" customHeight="1" s="134"/>
    <row r="808" ht="14.25" customHeight="1" s="134"/>
    <row r="809" ht="14.25" customHeight="1" s="134"/>
    <row r="810" ht="14.25" customHeight="1" s="134"/>
    <row r="811" ht="14.25" customHeight="1" s="134"/>
    <row r="812" ht="14.25" customHeight="1" s="134"/>
    <row r="813" ht="14.25" customHeight="1" s="134"/>
    <row r="814" ht="14.25" customHeight="1" s="134"/>
    <row r="815" ht="14.25" customHeight="1" s="134"/>
    <row r="816" ht="14.25" customHeight="1" s="134"/>
    <row r="817" ht="14.25" customHeight="1" s="134"/>
    <row r="818" ht="14.25" customHeight="1" s="134"/>
    <row r="819" ht="14.25" customHeight="1" s="134"/>
    <row r="820" ht="14.25" customHeight="1" s="134"/>
    <row r="821" ht="14.25" customHeight="1" s="134"/>
    <row r="822" ht="14.25" customHeight="1" s="134"/>
    <row r="823" ht="14.25" customHeight="1" s="134"/>
    <row r="824" ht="14.25" customHeight="1" s="134"/>
    <row r="825" ht="14.25" customHeight="1" s="134"/>
    <row r="826" ht="14.25" customHeight="1" s="134"/>
    <row r="827" ht="14.25" customHeight="1" s="134"/>
    <row r="828" ht="14.25" customHeight="1" s="134"/>
    <row r="829" ht="14.25" customHeight="1" s="134"/>
    <row r="830" ht="14.25" customHeight="1" s="134"/>
    <row r="831" ht="14.25" customHeight="1" s="134"/>
    <row r="832" ht="14.25" customHeight="1" s="134"/>
    <row r="833" ht="14.25" customHeight="1" s="134"/>
    <row r="834" ht="14.25" customHeight="1" s="134"/>
    <row r="835" ht="14.25" customHeight="1" s="134"/>
    <row r="836" ht="14.25" customHeight="1" s="134"/>
    <row r="837" ht="14.25" customHeight="1" s="134"/>
    <row r="838" ht="14.25" customHeight="1" s="134"/>
    <row r="839" ht="14.25" customHeight="1" s="134"/>
    <row r="840" ht="14.25" customHeight="1" s="134"/>
    <row r="841" ht="14.25" customHeight="1" s="134"/>
    <row r="842" ht="14.25" customHeight="1" s="134"/>
    <row r="843" ht="14.25" customHeight="1" s="134"/>
    <row r="844" ht="14.25" customHeight="1" s="134"/>
    <row r="845" ht="14.25" customHeight="1" s="134"/>
    <row r="846" ht="14.25" customHeight="1" s="134"/>
    <row r="847" ht="14.25" customHeight="1" s="134"/>
    <row r="848" ht="14.25" customHeight="1" s="134"/>
    <row r="849" ht="14.25" customHeight="1" s="134"/>
    <row r="850" ht="14.25" customHeight="1" s="134"/>
    <row r="851" ht="14.25" customHeight="1" s="134"/>
    <row r="852" ht="14.25" customHeight="1" s="134"/>
    <row r="853" ht="14.25" customHeight="1" s="134"/>
    <row r="854" ht="14.25" customHeight="1" s="134"/>
    <row r="855" ht="14.25" customHeight="1" s="134"/>
    <row r="856" ht="14.25" customHeight="1" s="134"/>
    <row r="857" ht="14.25" customHeight="1" s="134"/>
    <row r="858" ht="14.25" customHeight="1" s="134"/>
    <row r="859" ht="14.25" customHeight="1" s="134"/>
    <row r="860" ht="14.25" customHeight="1" s="134"/>
    <row r="861" ht="14.25" customHeight="1" s="134"/>
    <row r="862" ht="14.25" customHeight="1" s="134"/>
    <row r="863" ht="14.25" customHeight="1" s="134"/>
    <row r="864" ht="14.25" customHeight="1" s="134"/>
    <row r="865" ht="14.25" customHeight="1" s="134"/>
    <row r="866" ht="14.25" customHeight="1" s="134"/>
    <row r="867" ht="14.25" customHeight="1" s="134"/>
    <row r="868" ht="14.25" customHeight="1" s="134"/>
    <row r="869" ht="14.25" customHeight="1" s="134"/>
    <row r="870" ht="14.25" customHeight="1" s="134"/>
    <row r="871" ht="14.25" customHeight="1" s="134"/>
    <row r="872" ht="14.25" customHeight="1" s="134"/>
    <row r="873" ht="14.25" customHeight="1" s="134"/>
    <row r="874" ht="14.25" customHeight="1" s="134"/>
    <row r="875" ht="14.25" customHeight="1" s="134"/>
    <row r="876" ht="14.25" customHeight="1" s="134"/>
    <row r="877" ht="14.25" customHeight="1" s="134"/>
    <row r="878" ht="14.25" customHeight="1" s="134"/>
    <row r="879" ht="14.25" customHeight="1" s="134"/>
    <row r="880" ht="14.25" customHeight="1" s="134"/>
    <row r="881" ht="14.25" customHeight="1" s="134"/>
    <row r="882" ht="14.25" customHeight="1" s="134"/>
    <row r="883" ht="14.25" customHeight="1" s="134"/>
    <row r="884" ht="14.25" customHeight="1" s="134"/>
    <row r="885" ht="14.25" customHeight="1" s="134"/>
    <row r="886" ht="14.25" customHeight="1" s="134"/>
    <row r="887" ht="14.25" customHeight="1" s="134"/>
    <row r="888" ht="14.25" customHeight="1" s="134"/>
    <row r="889" ht="14.25" customHeight="1" s="134"/>
    <row r="890" ht="14.25" customHeight="1" s="134"/>
    <row r="891" ht="14.25" customHeight="1" s="134"/>
    <row r="892" ht="14.25" customHeight="1" s="134"/>
    <row r="893" ht="14.25" customHeight="1" s="134"/>
    <row r="894" ht="14.25" customHeight="1" s="134"/>
    <row r="895" ht="14.25" customHeight="1" s="134"/>
    <row r="896" ht="14.25" customHeight="1" s="134"/>
    <row r="897" ht="14.25" customHeight="1" s="134"/>
    <row r="898" ht="14.25" customHeight="1" s="134"/>
    <row r="899" ht="14.25" customHeight="1" s="134"/>
    <row r="900" ht="14.25" customHeight="1" s="134"/>
    <row r="901" ht="14.25" customHeight="1" s="134"/>
    <row r="902" ht="14.25" customHeight="1" s="134"/>
    <row r="903" ht="14.25" customHeight="1" s="134"/>
    <row r="904" ht="14.25" customHeight="1" s="134"/>
    <row r="905" ht="14.25" customHeight="1" s="134"/>
    <row r="906" ht="14.25" customHeight="1" s="134"/>
    <row r="907" ht="14.25" customHeight="1" s="134"/>
    <row r="908" ht="14.25" customHeight="1" s="134"/>
    <row r="909" ht="14.25" customHeight="1" s="134"/>
    <row r="910" ht="14.25" customHeight="1" s="134"/>
    <row r="911" ht="14.25" customHeight="1" s="134"/>
    <row r="912" ht="14.25" customHeight="1" s="134"/>
    <row r="913" ht="14.25" customHeight="1" s="134"/>
    <row r="914" ht="14.25" customHeight="1" s="134"/>
    <row r="915" ht="14.25" customHeight="1" s="134"/>
    <row r="916" ht="14.25" customHeight="1" s="134"/>
    <row r="917" ht="14.25" customHeight="1" s="134"/>
    <row r="918" ht="14.25" customHeight="1" s="134"/>
    <row r="919" ht="14.25" customHeight="1" s="134"/>
    <row r="920" ht="14.25" customHeight="1" s="134"/>
    <row r="921" ht="14.25" customHeight="1" s="134"/>
    <row r="922" ht="14.25" customHeight="1" s="134"/>
    <row r="923" ht="14.25" customHeight="1" s="134"/>
    <row r="924" ht="14.25" customHeight="1" s="134"/>
    <row r="925" ht="14.25" customHeight="1" s="134"/>
    <row r="926" ht="14.25" customHeight="1" s="134"/>
    <row r="927" ht="14.25" customHeight="1" s="134"/>
    <row r="928" ht="14.25" customHeight="1" s="134"/>
    <row r="929" ht="14.25" customHeight="1" s="134"/>
    <row r="930" ht="14.25" customHeight="1" s="134"/>
    <row r="931" ht="14.25" customHeight="1" s="134"/>
    <row r="932" ht="14.25" customHeight="1" s="134"/>
    <row r="933" ht="14.25" customHeight="1" s="134"/>
    <row r="934" ht="14.25" customHeight="1" s="134"/>
    <row r="935" ht="14.25" customHeight="1" s="134"/>
    <row r="936" ht="14.25" customHeight="1" s="134"/>
    <row r="937" ht="14.25" customHeight="1" s="134"/>
    <row r="938" ht="14.25" customHeight="1" s="134"/>
    <row r="939" ht="14.25" customHeight="1" s="134"/>
    <row r="940" ht="14.25" customHeight="1" s="134"/>
    <row r="941" ht="14.25" customHeight="1" s="134"/>
    <row r="942" ht="14.25" customHeight="1" s="134"/>
    <row r="943" ht="14.25" customHeight="1" s="134"/>
    <row r="944" ht="14.25" customHeight="1" s="134"/>
    <row r="945" ht="14.25" customHeight="1" s="134"/>
    <row r="946" ht="14.25" customHeight="1" s="134"/>
    <row r="947" ht="14.25" customHeight="1" s="134"/>
    <row r="948" ht="14.25" customHeight="1" s="134"/>
    <row r="949" ht="14.25" customHeight="1" s="134"/>
    <row r="950" ht="14.25" customHeight="1" s="134"/>
    <row r="951" ht="14.25" customHeight="1" s="134"/>
    <row r="952" ht="14.25" customHeight="1" s="134"/>
    <row r="953" ht="14.25" customHeight="1" s="134"/>
    <row r="954" ht="14.25" customHeight="1" s="134"/>
    <row r="955" ht="14.25" customHeight="1" s="134"/>
    <row r="956" ht="14.25" customHeight="1" s="134"/>
    <row r="957" ht="14.25" customHeight="1" s="134"/>
    <row r="958" ht="14.25" customHeight="1" s="134"/>
    <row r="959" ht="14.25" customHeight="1" s="134"/>
    <row r="960" ht="14.25" customHeight="1" s="134"/>
    <row r="961" ht="14.25" customHeight="1" s="134"/>
    <row r="962" ht="14.25" customHeight="1" s="134"/>
    <row r="963" ht="14.25" customHeight="1" s="134"/>
    <row r="964" ht="14.25" customHeight="1" s="134"/>
    <row r="965" ht="14.25" customHeight="1" s="134"/>
    <row r="966" ht="14.25" customHeight="1" s="134"/>
    <row r="967" ht="14.25" customHeight="1" s="134"/>
    <row r="968" ht="14.25" customHeight="1" s="134"/>
    <row r="969" ht="14.25" customHeight="1" s="134"/>
    <row r="970" ht="14.25" customHeight="1" s="134"/>
    <row r="971" ht="14.25" customHeight="1" s="134"/>
    <row r="972" ht="14.25" customHeight="1" s="134"/>
    <row r="973" ht="14.25" customHeight="1" s="134"/>
    <row r="974" ht="14.25" customHeight="1" s="134"/>
    <row r="975" ht="14.25" customHeight="1" s="134"/>
    <row r="976" ht="14.25" customHeight="1" s="134"/>
    <row r="977" ht="14.25" customHeight="1" s="134"/>
    <row r="978" ht="14.25" customHeight="1" s="134"/>
    <row r="979" ht="14.25" customHeight="1" s="134"/>
    <row r="980" ht="14.25" customHeight="1" s="134"/>
    <row r="981" ht="14.25" customHeight="1" s="134"/>
    <row r="982" ht="14.25" customHeight="1" s="134"/>
    <row r="983" ht="14.25" customHeight="1" s="134"/>
    <row r="984" ht="14.25" customHeight="1" s="134"/>
    <row r="985" ht="14.25" customHeight="1" s="134"/>
    <row r="986" ht="14.25" customHeight="1" s="134"/>
    <row r="987" ht="14.25" customHeight="1" s="134"/>
    <row r="988" ht="14.25" customHeight="1" s="134"/>
    <row r="989" ht="14.25" customHeight="1" s="134"/>
    <row r="990" ht="14.25" customHeight="1" s="134"/>
    <row r="991" ht="14.25" customHeight="1" s="134"/>
    <row r="992" ht="14.25" customHeight="1" s="134"/>
    <row r="993" ht="14.25" customHeight="1" s="134"/>
    <row r="994" ht="14.25" customHeight="1" s="134"/>
    <row r="995" ht="14.25" customHeight="1" s="134"/>
    <row r="996" ht="14.25" customHeight="1" s="134"/>
    <row r="997" ht="14.25" customHeight="1" s="134"/>
    <row r="998" ht="14.25" customHeight="1" s="134"/>
    <row r="999" ht="14.25" customHeight="1" s="134"/>
    <row r="1000" ht="14.25" customHeight="1" s="134"/>
  </sheetData>
  <mergeCells count="16">
    <mergeCell ref="A45:D45"/>
    <mergeCell ref="A1:D1"/>
    <mergeCell ref="A17:D17"/>
    <mergeCell ref="A27:D27"/>
    <mergeCell ref="A4:D4"/>
    <mergeCell ref="A48:D48"/>
    <mergeCell ref="A30:D30"/>
    <mergeCell ref="A13:D13"/>
    <mergeCell ref="A43:D43"/>
    <mergeCell ref="A41:D41"/>
    <mergeCell ref="A49:D49"/>
    <mergeCell ref="A10:D10"/>
    <mergeCell ref="A42:D42"/>
    <mergeCell ref="A46:D46"/>
    <mergeCell ref="A47:D47"/>
    <mergeCell ref="A44:D4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AA67"/>
  <sheetViews>
    <sheetView showGridLines="0" zoomScaleNormal="100" workbookViewId="0">
      <pane xSplit="2" ySplit="5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14.44140625" defaultRowHeight="15" customHeight="1"/>
  <cols>
    <col width="48.88671875" customWidth="1" style="134" min="1" max="1"/>
    <col width="14" customWidth="1" style="134" min="2" max="2"/>
    <col width="13.109375" customWidth="1" style="134" min="3" max="3"/>
    <col width="12.44140625" customWidth="1" style="134" min="4" max="19"/>
    <col width="14" customWidth="1" style="134" min="20" max="20"/>
    <col width="12.5546875" customWidth="1" style="134" min="21" max="21"/>
    <col width="8.88671875" customWidth="1" style="134" min="22" max="27"/>
  </cols>
  <sheetData>
    <row r="1" ht="14.25" customHeight="1" s="134">
      <c r="A1" s="3" t="inlineStr">
        <is>
          <t>FLUJO DE CAJA SEMANAL — SEM 37 A SEM 52 DE 2026</t>
        </is>
      </c>
    </row>
    <row r="2" ht="14.25" customHeight="1" s="134">
      <c r="A2" s="6" t="inlineStr">
        <is>
          <t>Fórmulas vivas: edite PARAMETROS para cambiar supuestos, o escriba un valor real directo en una celda de semana para reemplazar el estimado.</t>
        </is>
      </c>
    </row>
    <row r="3" ht="14.25" customHeight="1" s="134"/>
    <row r="4" ht="14.25" customHeight="1" s="134">
      <c r="A4" s="9" t="inlineStr">
        <is>
          <t>CONCEPTO</t>
        </is>
      </c>
      <c r="B4" s="9" t="inlineStr">
        <is>
          <t>TOTAL / META</t>
        </is>
      </c>
      <c r="C4" s="69" t="inlineStr">
        <is>
          <t>SALDO INICIAL</t>
        </is>
      </c>
      <c r="D4" s="9" t="inlineStr">
        <is>
          <t>SEM 37</t>
        </is>
      </c>
      <c r="E4" s="9" t="inlineStr">
        <is>
          <t>SEM 38</t>
        </is>
      </c>
      <c r="F4" s="9" t="inlineStr">
        <is>
          <t>SEM 39</t>
        </is>
      </c>
      <c r="G4" s="9" t="inlineStr">
        <is>
          <t>SEM 40</t>
        </is>
      </c>
      <c r="H4" s="9" t="inlineStr">
        <is>
          <t>SEM 41</t>
        </is>
      </c>
      <c r="I4" s="9" t="inlineStr">
        <is>
          <t>SEM 42</t>
        </is>
      </c>
      <c r="J4" s="9" t="inlineStr">
        <is>
          <t>SEM 43</t>
        </is>
      </c>
      <c r="K4" s="9" t="inlineStr">
        <is>
          <t>SEM 44</t>
        </is>
      </c>
      <c r="L4" s="9" t="inlineStr">
        <is>
          <t>SEM 45</t>
        </is>
      </c>
      <c r="M4" s="9" t="inlineStr">
        <is>
          <t>SEM 46</t>
        </is>
      </c>
      <c r="N4" s="9" t="inlineStr">
        <is>
          <t>SEM 47</t>
        </is>
      </c>
      <c r="O4" s="9" t="inlineStr">
        <is>
          <t>SEM 48</t>
        </is>
      </c>
      <c r="P4" s="9" t="inlineStr">
        <is>
          <t>SEM 49</t>
        </is>
      </c>
      <c r="Q4" s="9" t="inlineStr">
        <is>
          <t>SEM 50</t>
        </is>
      </c>
      <c r="R4" s="9" t="inlineStr">
        <is>
          <t>SEM 51</t>
        </is>
      </c>
      <c r="S4" s="9" t="inlineStr">
        <is>
          <t>SEM 52</t>
        </is>
      </c>
      <c r="T4" s="9" t="inlineStr">
        <is>
          <t>TOTAL
PROGR.</t>
        </is>
      </c>
      <c r="U4" s="9" t="inlineStr">
        <is>
          <t>DIFEREN-
CIA</t>
        </is>
      </c>
    </row>
    <row r="5" ht="29.4" customHeight="1" s="134">
      <c r="A5" s="15" t="inlineStr">
        <is>
          <t>Semana del … al … (calendario)</t>
        </is>
      </c>
      <c r="B5" s="16" t="n"/>
      <c r="C5" s="16" t="n"/>
      <c r="D5" s="18" t="inlineStr">
        <is>
          <t>07-Sep / 13-Sep</t>
        </is>
      </c>
      <c r="E5" s="18" t="inlineStr">
        <is>
          <t>14-Sep / 20-Sep</t>
        </is>
      </c>
      <c r="F5" s="18" t="inlineStr">
        <is>
          <t>21-Sep / 27-Sep</t>
        </is>
      </c>
      <c r="G5" s="18" t="inlineStr">
        <is>
          <t>28-Sep / 04-Oct</t>
        </is>
      </c>
      <c r="H5" s="18" t="inlineStr">
        <is>
          <t>05-Oct / 11-Oct</t>
        </is>
      </c>
      <c r="I5" s="18" t="inlineStr">
        <is>
          <t>12-Oct / 18-Oct</t>
        </is>
      </c>
      <c r="J5" s="18" t="inlineStr">
        <is>
          <t>19-Oct / 25-Oct</t>
        </is>
      </c>
      <c r="K5" s="18" t="inlineStr">
        <is>
          <t>26-Oct / 01-Nov</t>
        </is>
      </c>
      <c r="L5" s="18" t="inlineStr">
        <is>
          <t>02-Nov / 08-Nov</t>
        </is>
      </c>
      <c r="M5" s="18" t="inlineStr">
        <is>
          <t>09-Nov / 15-Nov</t>
        </is>
      </c>
      <c r="N5" s="18" t="inlineStr">
        <is>
          <t>16-Nov / 22-Nov</t>
        </is>
      </c>
      <c r="O5" s="18" t="inlineStr">
        <is>
          <t>23-Nov / 29-Nov</t>
        </is>
      </c>
      <c r="P5" s="18" t="inlineStr">
        <is>
          <t>30-Nov / 06-Dec</t>
        </is>
      </c>
      <c r="Q5" s="18" t="inlineStr">
        <is>
          <t>07-Dec / 13-Dec</t>
        </is>
      </c>
      <c r="R5" s="18" t="inlineStr">
        <is>
          <t>14-Dec / 20-Dec</t>
        </is>
      </c>
      <c r="S5" s="18" t="inlineStr">
        <is>
          <t>21-Dec / 27-Dec</t>
        </is>
      </c>
      <c r="T5" s="16" t="n"/>
      <c r="U5" s="16" t="n"/>
      <c r="V5" s="16" t="n"/>
      <c r="W5" s="16" t="n"/>
      <c r="X5" s="16" t="n"/>
      <c r="Y5" s="16" t="n"/>
      <c r="Z5" s="16" t="n"/>
      <c r="AA5" s="16" t="n"/>
    </row>
    <row r="6" ht="14.25" customHeight="1" s="134">
      <c r="A6" s="24" t="inlineStr">
        <is>
          <t>SALDO INICIAL DE CAJA</t>
        </is>
      </c>
      <c r="B6" s="25" t="n"/>
      <c r="C6" s="25" t="n"/>
      <c r="D6" s="29">
        <f>PARAMETROS!$B$11</f>
        <v/>
      </c>
      <c r="E6" s="29">
        <f>D55</f>
        <v/>
      </c>
      <c r="F6" s="29">
        <f>E55</f>
        <v/>
      </c>
      <c r="G6" s="29">
        <f>F55</f>
        <v/>
      </c>
      <c r="H6" s="29">
        <f>G55</f>
        <v/>
      </c>
      <c r="I6" s="29">
        <f>H55</f>
        <v/>
      </c>
      <c r="J6" s="29">
        <f>I55</f>
        <v/>
      </c>
      <c r="K6" s="29">
        <f>J55</f>
        <v/>
      </c>
      <c r="L6" s="29">
        <f>K55</f>
        <v/>
      </c>
      <c r="M6" s="29">
        <f>L55</f>
        <v/>
      </c>
      <c r="N6" s="29">
        <f>M55</f>
        <v/>
      </c>
      <c r="O6" s="29">
        <f>N55</f>
        <v/>
      </c>
      <c r="P6" s="29">
        <f>O55</f>
        <v/>
      </c>
      <c r="Q6" s="29">
        <f>P55</f>
        <v/>
      </c>
      <c r="R6" s="29">
        <f>Q55</f>
        <v/>
      </c>
      <c r="S6" s="29">
        <f>R55</f>
        <v/>
      </c>
    </row>
    <row r="7" ht="14.25" customHeight="1" s="134">
      <c r="A7" s="33" t="inlineStr">
        <is>
          <t>INGRESOS</t>
        </is>
      </c>
      <c r="B7" s="34" t="n"/>
      <c r="C7" s="66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</row>
    <row r="8" ht="14.25" customHeight="1" s="134">
      <c r="A8" s="11" t="inlineStr">
        <is>
          <t>Ingreso operativo estimado (clientes)</t>
        </is>
      </c>
      <c r="B8" s="138" t="inlineStr">
        <is>
          <t>ver PARAMETROS</t>
        </is>
      </c>
      <c r="C8" s="138" t="n"/>
      <c r="D8" s="35" t="n">
        <v>24965.7</v>
      </c>
      <c r="E8" s="35" t="n">
        <v>7937.777999999999</v>
      </c>
      <c r="F8" s="35" t="n">
        <v>10583.704</v>
      </c>
      <c r="G8" s="35" t="n">
        <v>5291.852</v>
      </c>
      <c r="H8" s="35" t="n">
        <v>2645.926</v>
      </c>
      <c r="I8" s="35" t="n">
        <v>7937.777999999999</v>
      </c>
      <c r="J8" s="35" t="n">
        <v>10583.704</v>
      </c>
      <c r="K8" s="35" t="n">
        <v>5291.852</v>
      </c>
      <c r="L8" s="35" t="n">
        <v>2645.926</v>
      </c>
      <c r="M8" s="35" t="n">
        <v>7937.777999999999</v>
      </c>
      <c r="N8" s="35" t="n">
        <v>10583.704</v>
      </c>
      <c r="O8" s="35" t="n">
        <v>5291.852</v>
      </c>
      <c r="P8" s="35" t="n">
        <v>2645.926</v>
      </c>
      <c r="Q8" s="35" t="n">
        <v>7937.777999999999</v>
      </c>
      <c r="R8" s="35" t="n">
        <v>10583.704</v>
      </c>
      <c r="S8" s="35" t="n">
        <v>5291.852</v>
      </c>
    </row>
    <row r="9" ht="14.25" customHeight="1" s="134">
      <c r="A9" s="11" t="inlineStr">
        <is>
          <t>Aportes recibidos de Agroaéreo</t>
        </is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0</v>
      </c>
      <c r="K9" s="36" t="n">
        <v>0</v>
      </c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6" t="n">
        <v>0</v>
      </c>
      <c r="R9" s="36" t="n">
        <v>0</v>
      </c>
      <c r="S9" s="36" t="n">
        <v>0</v>
      </c>
    </row>
    <row r="10" ht="14.25" customHeight="1" s="134">
      <c r="A10" s="11" t="inlineStr">
        <is>
          <t>Otros ingresos (ventas, reembolsos, etc.)</t>
        </is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0</v>
      </c>
      <c r="L10" s="36" t="n">
        <v>0</v>
      </c>
      <c r="M10" s="36" t="n">
        <v>0</v>
      </c>
      <c r="N10" s="36" t="n">
        <v>0</v>
      </c>
      <c r="O10" s="36" t="n">
        <v>0</v>
      </c>
      <c r="P10" s="36" t="n">
        <v>0</v>
      </c>
      <c r="Q10" s="36" t="n">
        <v>0</v>
      </c>
      <c r="R10" s="36" t="n">
        <v>0</v>
      </c>
      <c r="S10" s="36" t="n">
        <v>0</v>
      </c>
    </row>
    <row r="11" ht="14.25" customHeight="1" s="134">
      <c r="A11" s="37" t="inlineStr">
        <is>
          <t>TOTAL INGRESOS</t>
        </is>
      </c>
      <c r="D11" s="38">
        <f>SUM(D8:D10)</f>
        <v/>
      </c>
      <c r="E11" s="38">
        <f>SUM(E8:E10)</f>
        <v/>
      </c>
      <c r="F11" s="38">
        <f>SUM(F8:F10)</f>
        <v/>
      </c>
      <c r="G11" s="38">
        <f>SUM(G8:G10)</f>
        <v/>
      </c>
      <c r="H11" s="38">
        <f>SUM(H8:H10)</f>
        <v/>
      </c>
      <c r="I11" s="38">
        <f>SUM(I8:I10)</f>
        <v/>
      </c>
      <c r="J11" s="38">
        <f>SUM(J8:J10)</f>
        <v/>
      </c>
      <c r="K11" s="38">
        <f>SUM(K8:K10)</f>
        <v/>
      </c>
      <c r="L11" s="38">
        <f>SUM(L8:L10)</f>
        <v/>
      </c>
      <c r="M11" s="38">
        <f>SUM(M8:M10)</f>
        <v/>
      </c>
      <c r="N11" s="38">
        <f>SUM(N8:N10)</f>
        <v/>
      </c>
      <c r="O11" s="38">
        <f>SUM(O8:O10)</f>
        <v/>
      </c>
      <c r="P11" s="38">
        <f>SUM(P8:P10)</f>
        <v/>
      </c>
      <c r="Q11" s="38">
        <f>SUM(Q8:Q10)</f>
        <v/>
      </c>
      <c r="R11" s="38">
        <f>SUM(R8:R10)</f>
        <v/>
      </c>
      <c r="S11" s="38">
        <f>SUM(S8:S10)</f>
        <v/>
      </c>
    </row>
    <row r="12" ht="14.25" customHeight="1" s="134">
      <c r="A12" s="33" t="inlineStr">
        <is>
          <t>EGRESOS FIJOS (operativos, administrativos, legales)</t>
        </is>
      </c>
      <c r="B12" s="34" t="n"/>
      <c r="C12" s="66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</row>
    <row r="13" ht="14.25" customHeight="1" s="134">
      <c r="A13" s="11" t="inlineStr">
        <is>
          <t>Gasto operativo y administrativo</t>
        </is>
      </c>
      <c r="D13" s="35" t="n">
        <v>0</v>
      </c>
      <c r="E13" s="35" t="n">
        <v>0</v>
      </c>
      <c r="F13" s="35" t="n">
        <v>0</v>
      </c>
      <c r="G13" s="35">
        <f>1555+100+100</f>
        <v/>
      </c>
      <c r="H13" s="35" t="n">
        <v>0</v>
      </c>
      <c r="I13" s="35" t="n">
        <v>0</v>
      </c>
      <c r="J13" s="35" t="n">
        <v>0</v>
      </c>
      <c r="K13" s="35">
        <f>1555+100+100</f>
        <v/>
      </c>
      <c r="L13" s="35" t="n">
        <v>0</v>
      </c>
      <c r="M13" s="35" t="n">
        <v>0</v>
      </c>
      <c r="N13" s="35" t="n">
        <v>0</v>
      </c>
      <c r="O13" s="35">
        <f>1555+100+100</f>
        <v/>
      </c>
      <c r="P13" s="35" t="n">
        <v>0</v>
      </c>
      <c r="Q13" s="35" t="n">
        <v>0</v>
      </c>
      <c r="R13" s="35" t="n">
        <v>0</v>
      </c>
      <c r="S13" s="35">
        <f>1555+100+100</f>
        <v/>
      </c>
    </row>
    <row r="14" ht="14.25" customHeight="1" s="134">
      <c r="A14" s="11" t="inlineStr">
        <is>
          <t>Mantenimiento de bodegas en operación</t>
        </is>
      </c>
      <c r="D14" s="35" t="n">
        <v>0</v>
      </c>
      <c r="E14" s="35" t="n">
        <v>0</v>
      </c>
      <c r="F14" s="35" t="n">
        <v>0</v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</row>
    <row r="15" ht="14.25" customHeight="1" s="134">
      <c r="A15" s="11" t="inlineStr">
        <is>
          <t>Impuestos, prediales y gastos bancarios</t>
        </is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0</v>
      </c>
      <c r="K15" s="35" t="n">
        <v>0</v>
      </c>
      <c r="L15" s="35" t="n">
        <v>0</v>
      </c>
      <c r="M15" s="35" t="n">
        <v>0</v>
      </c>
      <c r="N15" s="35" t="n">
        <v>0</v>
      </c>
      <c r="O15" s="35" t="n">
        <v>0</v>
      </c>
      <c r="P15" s="35" t="n">
        <v>0</v>
      </c>
      <c r="Q15" s="35" t="n">
        <v>0</v>
      </c>
      <c r="R15" s="35" t="n">
        <v>0</v>
      </c>
      <c r="S15" s="35" t="n">
        <v>0</v>
      </c>
    </row>
    <row r="16" ht="14.25" customHeight="1" s="134">
      <c r="A16" s="11" t="inlineStr">
        <is>
          <t>Servicio de deuda — Cooperativa La Nuestra</t>
        </is>
      </c>
      <c r="D16" s="35" t="n">
        <v>0</v>
      </c>
      <c r="E16" s="35" t="n">
        <v>1045</v>
      </c>
      <c r="F16" s="35" t="n">
        <v>0</v>
      </c>
      <c r="G16" s="35" t="n">
        <v>0</v>
      </c>
      <c r="H16" s="35" t="n">
        <v>0</v>
      </c>
      <c r="I16" s="35" t="n">
        <v>1045</v>
      </c>
      <c r="J16" s="35" t="n">
        <v>0</v>
      </c>
      <c r="K16" s="35" t="n">
        <v>0</v>
      </c>
      <c r="L16" s="35" t="n">
        <v>0</v>
      </c>
      <c r="M16" s="35" t="n">
        <v>1045</v>
      </c>
      <c r="N16" s="35" t="n">
        <v>0</v>
      </c>
      <c r="O16" s="35" t="n">
        <v>0</v>
      </c>
      <c r="P16" s="35" t="n">
        <v>0</v>
      </c>
      <c r="Q16" s="35" t="n">
        <v>1045</v>
      </c>
      <c r="R16" s="35" t="n">
        <v>0</v>
      </c>
      <c r="S16" s="35" t="n">
        <v>0</v>
      </c>
    </row>
    <row r="17" ht="14.25" customHeight="1" s="134">
      <c r="A17" s="11" t="inlineStr">
        <is>
          <t>Estudios, planos y levantamientos</t>
        </is>
      </c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0</v>
      </c>
      <c r="R17" s="35" t="n">
        <v>0</v>
      </c>
      <c r="S17" s="35" t="n">
        <v>0</v>
      </c>
    </row>
    <row r="18" ht="14.25" customHeight="1" s="134">
      <c r="A18" s="11" t="inlineStr">
        <is>
          <t>Retiros de socios / gasto societario y legal (normalizado)</t>
        </is>
      </c>
      <c r="D18" s="35" t="n">
        <v>0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0</v>
      </c>
      <c r="L18" s="35" t="n">
        <v>0</v>
      </c>
      <c r="M18" s="35" t="n">
        <v>0</v>
      </c>
      <c r="N18" s="35" t="n">
        <v>0</v>
      </c>
      <c r="O18" s="35" t="n">
        <v>0</v>
      </c>
      <c r="P18" s="35" t="n">
        <v>0</v>
      </c>
      <c r="Q18" s="35" t="n">
        <v>0</v>
      </c>
      <c r="R18" s="35" t="n">
        <v>0</v>
      </c>
      <c r="S18" s="35" t="n">
        <v>0</v>
      </c>
    </row>
    <row r="19" ht="14.25" customHeight="1" s="134">
      <c r="A19" s="39" t="inlineStr">
        <is>
          <t xml:space="preserve">Alicuotas </t>
        </is>
      </c>
      <c r="D19" s="35" t="n">
        <v>624.59</v>
      </c>
      <c r="E19" s="35" t="n">
        <v>0</v>
      </c>
      <c r="F19" s="35" t="n">
        <v>0</v>
      </c>
      <c r="G19" s="35" t="n">
        <v>0</v>
      </c>
      <c r="H19" s="35" t="n">
        <v>624.59</v>
      </c>
      <c r="I19" s="35" t="n">
        <v>0</v>
      </c>
      <c r="J19" s="35" t="n">
        <v>0</v>
      </c>
      <c r="K19" s="35" t="n">
        <v>0</v>
      </c>
      <c r="L19" s="35" t="n">
        <v>624.59</v>
      </c>
      <c r="M19" s="35" t="n">
        <v>0</v>
      </c>
      <c r="N19" s="35" t="n">
        <v>0</v>
      </c>
      <c r="O19" s="35" t="n">
        <v>0</v>
      </c>
      <c r="P19" s="35" t="n">
        <v>624.59</v>
      </c>
      <c r="Q19" s="35" t="n">
        <v>0</v>
      </c>
      <c r="R19" s="35" t="n">
        <v>0</v>
      </c>
      <c r="S19" s="35" t="n">
        <v>0</v>
      </c>
    </row>
    <row r="20" ht="14.25" customHeight="1" s="134">
      <c r="A20" s="39" t="inlineStr">
        <is>
          <t>Consumo de Energia Electrica</t>
        </is>
      </c>
      <c r="D20" s="35" t="n">
        <v>125.88</v>
      </c>
      <c r="E20" s="35" t="n">
        <v>0</v>
      </c>
      <c r="F20" s="35" t="n">
        <v>0</v>
      </c>
      <c r="G20" s="35" t="n">
        <v>0</v>
      </c>
      <c r="H20" s="35" t="n">
        <v>0</v>
      </c>
      <c r="I20" s="35" t="n">
        <v>0</v>
      </c>
      <c r="J20" s="35" t="n">
        <v>0</v>
      </c>
      <c r="K20" s="35" t="n">
        <v>0</v>
      </c>
      <c r="L20" s="35" t="n">
        <v>0</v>
      </c>
      <c r="M20" s="35" t="n">
        <v>0</v>
      </c>
      <c r="N20" s="35" t="n">
        <v>0</v>
      </c>
      <c r="O20" s="35" t="n">
        <v>0</v>
      </c>
      <c r="P20" s="35" t="n">
        <v>0</v>
      </c>
      <c r="Q20" s="35" t="n">
        <v>0</v>
      </c>
      <c r="R20" s="35" t="n">
        <v>0</v>
      </c>
      <c r="S20" s="35" t="n">
        <v>0</v>
      </c>
    </row>
    <row r="21" ht="14.25" customHeight="1" s="134">
      <c r="A21" s="37" t="inlineStr">
        <is>
          <t>SUBTOTAL EGRESOS FIJOS</t>
        </is>
      </c>
      <c r="D21" s="38">
        <f>SUM(D13:D20)</f>
        <v/>
      </c>
      <c r="E21" s="38">
        <f>SUM(E13:E20)</f>
        <v/>
      </c>
      <c r="F21" s="38">
        <f>SUM(F13:F20)</f>
        <v/>
      </c>
      <c r="G21" s="38">
        <f>SUM(G13:G20)</f>
        <v/>
      </c>
      <c r="H21" s="38">
        <f>SUM(H13:H20)</f>
        <v/>
      </c>
      <c r="I21" s="38">
        <f>SUM(I13:I20)</f>
        <v/>
      </c>
      <c r="J21" s="38">
        <f>SUM(J13:J20)</f>
        <v/>
      </c>
      <c r="K21" s="38">
        <f>SUM(K13:K20)</f>
        <v/>
      </c>
      <c r="L21" s="38">
        <f>SUM(L13:L20)</f>
        <v/>
      </c>
      <c r="M21" s="38">
        <f>SUM(M13:M20)</f>
        <v/>
      </c>
      <c r="N21" s="38">
        <f>SUM(N13:N20)</f>
        <v/>
      </c>
      <c r="O21" s="38">
        <f>SUM(O13:O20)</f>
        <v/>
      </c>
      <c r="P21" s="38">
        <f>SUM(P13:P20)</f>
        <v/>
      </c>
      <c r="Q21" s="38">
        <f>SUM(Q13:Q20)</f>
        <v/>
      </c>
      <c r="R21" s="38">
        <f>SUM(R13:R20)</f>
        <v/>
      </c>
      <c r="S21" s="38">
        <f>SUM(S13:S20)</f>
        <v/>
      </c>
    </row>
    <row r="22" ht="14.25" customHeight="1" s="134">
      <c r="A22" s="33" t="inlineStr">
        <is>
          <t>EGRESOS DE OBRA / CONSTRUCCIÓN — valores sugeridos al ritmo de $10.000/sem; reprograme según pagos reales</t>
        </is>
      </c>
      <c r="B22" s="34" t="n"/>
      <c r="C22" s="66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</row>
    <row r="23" ht="14.25" customHeight="1" s="134">
      <c r="A23" s="11" t="inlineStr">
        <is>
          <t xml:space="preserve"> Tapia (Mano de Obra estructura) Bod. 16-17</t>
        </is>
      </c>
      <c r="B23" s="70" t="n">
        <v>2050.8</v>
      </c>
      <c r="C23" s="35" t="n"/>
      <c r="D23" s="35" t="n">
        <v>2050.8</v>
      </c>
      <c r="E23" s="35" t="n">
        <v>0</v>
      </c>
      <c r="F23" s="35" t="n">
        <v>0</v>
      </c>
      <c r="G23" s="35" t="n">
        <v>0</v>
      </c>
      <c r="H23" s="35" t="n">
        <v>0</v>
      </c>
      <c r="I23" s="35" t="n">
        <v>0</v>
      </c>
      <c r="J23" s="35" t="n">
        <v>0</v>
      </c>
      <c r="K23" s="35" t="n">
        <v>0</v>
      </c>
      <c r="L23" s="35" t="n">
        <v>0</v>
      </c>
      <c r="M23" s="35" t="n">
        <v>0</v>
      </c>
      <c r="N23" s="35" t="n">
        <v>0</v>
      </c>
      <c r="O23" s="35" t="n">
        <v>0</v>
      </c>
      <c r="P23" s="35" t="n">
        <v>0</v>
      </c>
      <c r="Q23" s="35" t="n">
        <v>0</v>
      </c>
      <c r="R23" s="35" t="n">
        <v>0</v>
      </c>
      <c r="S23" s="35" t="n">
        <v>0</v>
      </c>
      <c r="T23" s="35">
        <f>SUM(D23:S23)</f>
        <v/>
      </c>
      <c r="U23" s="35">
        <f>B23-T23</f>
        <v/>
      </c>
    </row>
    <row r="24" ht="14.25" customHeight="1" s="134">
      <c r="A24" s="11" t="inlineStr">
        <is>
          <t xml:space="preserve"> Tapia (Mano de Obra 5 puertas corredizas)</t>
        </is>
      </c>
      <c r="B24" s="70" t="n">
        <v>9000</v>
      </c>
      <c r="C24" s="35" t="n"/>
      <c r="D24" s="35" t="n">
        <v>2000</v>
      </c>
      <c r="E24" s="35" t="n">
        <v>1000</v>
      </c>
      <c r="F24" s="35" t="n">
        <v>1000</v>
      </c>
      <c r="G24" s="35" t="n">
        <v>1000</v>
      </c>
      <c r="H24" s="35" t="n">
        <v>1000</v>
      </c>
      <c r="I24" s="35" t="n">
        <v>1000</v>
      </c>
      <c r="J24" s="35" t="n">
        <v>1000</v>
      </c>
      <c r="K24" s="35" t="n">
        <v>1000</v>
      </c>
      <c r="L24" s="35" t="n">
        <v>0</v>
      </c>
      <c r="M24" s="35" t="n">
        <v>0</v>
      </c>
      <c r="N24" s="35" t="n">
        <v>0</v>
      </c>
      <c r="O24" s="35" t="n">
        <v>0</v>
      </c>
      <c r="P24" s="35" t="n">
        <v>0</v>
      </c>
      <c r="Q24" s="35" t="n">
        <v>0</v>
      </c>
      <c r="R24" s="35" t="n">
        <v>0</v>
      </c>
      <c r="S24" s="35" t="n">
        <v>0</v>
      </c>
      <c r="T24" s="35">
        <f>SUM(D24:S24)</f>
        <v/>
      </c>
      <c r="U24" s="35">
        <f>B24-T24</f>
        <v/>
      </c>
    </row>
    <row r="25" ht="14.25" customHeight="1" s="134">
      <c r="A25" s="11" t="inlineStr">
        <is>
          <t xml:space="preserve"> Tapia (Mano de Obra pared metalica)</t>
        </is>
      </c>
      <c r="B25" s="70" t="n">
        <v>4416</v>
      </c>
      <c r="C25" s="35" t="n"/>
      <c r="D25" s="35" t="n">
        <v>0</v>
      </c>
      <c r="E25" s="35" t="n">
        <v>1324.8</v>
      </c>
      <c r="F25" s="35" t="n">
        <v>1766.4</v>
      </c>
      <c r="G25" s="35" t="n">
        <v>1324.8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0</v>
      </c>
      <c r="O25" s="35" t="n">
        <v>0</v>
      </c>
      <c r="P25" s="35" t="n">
        <v>0</v>
      </c>
      <c r="Q25" s="35" t="n">
        <v>0</v>
      </c>
      <c r="R25" s="35" t="n">
        <v>0</v>
      </c>
      <c r="S25" s="35" t="n">
        <v>0</v>
      </c>
      <c r="T25" s="35">
        <f>SUM(D25:S25)</f>
        <v/>
      </c>
      <c r="U25" s="35">
        <f>B25-T25</f>
        <v/>
      </c>
    </row>
    <row r="26" ht="14.25" customHeight="1" s="134">
      <c r="A26" s="11" t="inlineStr">
        <is>
          <t xml:space="preserve"> Flores (Mano de Obra cimentación) Bod. 16-17</t>
        </is>
      </c>
      <c r="B26" s="70" t="n">
        <v>1352.43</v>
      </c>
      <c r="C26" s="35" t="n"/>
      <c r="D26" s="35" t="n">
        <v>1352.43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0</v>
      </c>
      <c r="O26" s="35" t="n">
        <v>0</v>
      </c>
      <c r="P26" s="35" t="n">
        <v>0</v>
      </c>
      <c r="Q26" s="35" t="n">
        <v>0</v>
      </c>
      <c r="R26" s="35" t="n">
        <v>0</v>
      </c>
      <c r="S26" s="35" t="n">
        <v>0</v>
      </c>
      <c r="T26" s="35">
        <f>SUM(D26:S26)</f>
        <v/>
      </c>
      <c r="U26" s="35">
        <f>B26-T26</f>
        <v/>
      </c>
    </row>
    <row r="27" ht="14.25" customHeight="1" s="134">
      <c r="A27" s="11" t="inlineStr">
        <is>
          <t xml:space="preserve"> Flores (Mano de Obra piso, emblocado)</t>
        </is>
      </c>
      <c r="B27" s="70" t="n">
        <v>9652.139999999999</v>
      </c>
      <c r="C27" s="35" t="n"/>
      <c r="D27" s="35" t="n">
        <v>0</v>
      </c>
      <c r="E27" s="35" t="n">
        <v>5515.51</v>
      </c>
      <c r="F27" s="35" t="n">
        <v>0</v>
      </c>
      <c r="G27" s="35" t="n">
        <v>4136.63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0</v>
      </c>
      <c r="O27" s="35" t="n">
        <v>0</v>
      </c>
      <c r="P27" s="35" t="n">
        <v>0</v>
      </c>
      <c r="Q27" s="35" t="n">
        <v>0</v>
      </c>
      <c r="R27" s="35" t="n">
        <v>0</v>
      </c>
      <c r="S27" s="35" t="n">
        <v>0</v>
      </c>
      <c r="T27" s="35">
        <f>SUM(D27:S27)</f>
        <v/>
      </c>
      <c r="U27" s="35">
        <f>B27-T27</f>
        <v/>
      </c>
    </row>
    <row r="28" ht="14.25" customHeight="1" s="134">
      <c r="A28" s="11" t="inlineStr">
        <is>
          <t xml:space="preserve"> Flores (Mano de Obra pozo septico)</t>
        </is>
      </c>
      <c r="B28" s="70" t="n">
        <v>761.25</v>
      </c>
      <c r="C28" s="35" t="n"/>
      <c r="D28" s="35" t="n">
        <v>0</v>
      </c>
      <c r="E28" s="35" t="n">
        <v>0</v>
      </c>
      <c r="F28" s="35" t="n">
        <v>761.25</v>
      </c>
      <c r="G28" s="35" t="n">
        <v>0</v>
      </c>
      <c r="H28" s="35" t="n">
        <v>0</v>
      </c>
      <c r="I28" s="35" t="n">
        <v>0</v>
      </c>
      <c r="J28" s="35" t="n">
        <v>0</v>
      </c>
      <c r="K28" s="35" t="n">
        <v>0</v>
      </c>
      <c r="L28" s="35" t="n">
        <v>0</v>
      </c>
      <c r="M28" s="35" t="n">
        <v>0</v>
      </c>
      <c r="N28" s="35" t="n">
        <v>0</v>
      </c>
      <c r="O28" s="35" t="n">
        <v>0</v>
      </c>
      <c r="P28" s="35" t="n">
        <v>0</v>
      </c>
      <c r="Q28" s="35" t="n">
        <v>0</v>
      </c>
      <c r="R28" s="35" t="n">
        <v>0</v>
      </c>
      <c r="S28" s="35" t="n">
        <v>0</v>
      </c>
      <c r="T28" s="35">
        <f>SUM(D28:S28)</f>
        <v/>
      </c>
      <c r="U28" s="35">
        <f>B28-T28</f>
        <v/>
      </c>
    </row>
    <row r="29" ht="14.25" customHeight="1" s="134">
      <c r="A29" s="11" t="inlineStr">
        <is>
          <t xml:space="preserve"> Flores (Mano de obra Const. Bodega 150m2)</t>
        </is>
      </c>
      <c r="B29" s="35" t="n">
        <v>2693.88</v>
      </c>
      <c r="C29" s="35" t="n"/>
      <c r="D29" s="35" t="n">
        <v>0</v>
      </c>
      <c r="E29" s="35">
        <f>+B29*30%</f>
        <v/>
      </c>
      <c r="F29" s="35" t="n">
        <v>0</v>
      </c>
      <c r="G29" s="35" t="n">
        <v>0</v>
      </c>
      <c r="H29" s="35">
        <f>+B29*40%</f>
        <v/>
      </c>
      <c r="I29" s="35" t="n">
        <v>0</v>
      </c>
      <c r="J29" s="35" t="n">
        <v>0</v>
      </c>
      <c r="K29" s="35">
        <f>+B29*30%</f>
        <v/>
      </c>
      <c r="L29" s="35" t="n">
        <v>0</v>
      </c>
      <c r="M29" s="35" t="n">
        <v>0</v>
      </c>
      <c r="N29" s="35" t="n">
        <v>0</v>
      </c>
      <c r="O29" s="35" t="n">
        <v>0</v>
      </c>
      <c r="P29" s="35" t="n">
        <v>0</v>
      </c>
      <c r="Q29" s="35" t="n">
        <v>0</v>
      </c>
      <c r="R29" s="35" t="n">
        <v>0</v>
      </c>
      <c r="S29" s="35" t="n">
        <v>0</v>
      </c>
      <c r="T29" s="35">
        <f>SUM(D29:S29)</f>
        <v/>
      </c>
      <c r="U29" s="35">
        <f>B29-T29</f>
        <v/>
      </c>
    </row>
    <row r="30" ht="14.25" customHeight="1" s="134">
      <c r="A30" s="11" t="inlineStr">
        <is>
          <t>Tapia (Mano de obra Const. Bodega 150m2 - Metálica)</t>
        </is>
      </c>
      <c r="B30" s="35" t="n">
        <v>1885</v>
      </c>
      <c r="C30" s="35" t="n"/>
      <c r="D30" s="35" t="n">
        <v>0</v>
      </c>
      <c r="E30" s="59">
        <f>+B30/3</f>
        <v/>
      </c>
      <c r="F30" s="59">
        <f>+E30</f>
        <v/>
      </c>
      <c r="G30" s="59">
        <f>+F30</f>
        <v/>
      </c>
      <c r="H30" s="35" t="n">
        <v>0</v>
      </c>
      <c r="I30" s="35" t="n">
        <v>0</v>
      </c>
      <c r="J30" s="35" t="n">
        <v>0</v>
      </c>
      <c r="K30" s="35" t="n">
        <v>0</v>
      </c>
      <c r="L30" s="35" t="n">
        <v>0</v>
      </c>
      <c r="M30" s="35" t="n">
        <v>0</v>
      </c>
      <c r="N30" s="35" t="n">
        <v>0</v>
      </c>
      <c r="O30" s="35" t="n">
        <v>0</v>
      </c>
      <c r="P30" s="35" t="n">
        <v>0</v>
      </c>
      <c r="Q30" s="35" t="n">
        <v>0</v>
      </c>
      <c r="R30" s="35" t="n">
        <v>0</v>
      </c>
      <c r="S30" s="35" t="n">
        <v>0</v>
      </c>
      <c r="T30" s="35">
        <f>SUM(D30:S30)</f>
        <v/>
      </c>
      <c r="U30" s="35">
        <f>B30-T30</f>
        <v/>
      </c>
    </row>
    <row r="31" ht="14.25" customHeight="1" s="134">
      <c r="A31" s="11" t="inlineStr">
        <is>
          <t xml:space="preserve"> Tapia  (Materiales Const. Bodega 150m2  - Metálica)</t>
        </is>
      </c>
      <c r="B31" s="35" t="n">
        <v>2485.14</v>
      </c>
      <c r="C31" s="35" t="n"/>
      <c r="D31" s="35" t="n">
        <v>0</v>
      </c>
      <c r="E31" s="35" t="n">
        <v>0</v>
      </c>
      <c r="F31" s="35" t="n">
        <v>0</v>
      </c>
      <c r="G31" s="35" t="n">
        <v>0</v>
      </c>
      <c r="H31" s="35" t="n">
        <v>0</v>
      </c>
      <c r="I31" s="35" t="n">
        <v>0</v>
      </c>
      <c r="J31" s="35" t="n">
        <v>0</v>
      </c>
      <c r="K31" s="35" t="n">
        <v>0</v>
      </c>
      <c r="L31" s="35" t="n">
        <v>0</v>
      </c>
      <c r="M31" s="35" t="n">
        <v>0</v>
      </c>
      <c r="N31" s="35" t="n">
        <v>0</v>
      </c>
      <c r="O31" s="35" t="n">
        <v>0</v>
      </c>
      <c r="P31" s="35" t="n">
        <v>0</v>
      </c>
      <c r="Q31" s="35" t="n">
        <v>0</v>
      </c>
      <c r="R31" s="35" t="n">
        <v>0</v>
      </c>
      <c r="S31" s="35" t="n">
        <v>0</v>
      </c>
      <c r="T31" s="35">
        <f>SUM(D31:S31)</f>
        <v/>
      </c>
      <c r="U31" s="35">
        <f>B31-T31</f>
        <v/>
      </c>
    </row>
    <row r="32" ht="14.25" customHeight="1" s="134">
      <c r="A32" s="11" t="inlineStr">
        <is>
          <t xml:space="preserve"> Flores (Materiales Const. Bodega 150m2)</t>
        </is>
      </c>
      <c r="B32" s="64" t="n">
        <v>1507.31</v>
      </c>
      <c r="C32" s="64" t="n"/>
      <c r="D32" s="35" t="n">
        <v>0</v>
      </c>
      <c r="E32" s="59">
        <f>+B32/2</f>
        <v/>
      </c>
      <c r="F32" s="59">
        <f>+E32</f>
        <v/>
      </c>
      <c r="G32" s="35" t="n">
        <v>0</v>
      </c>
      <c r="H32" s="35" t="n">
        <v>0</v>
      </c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  <c r="N32" s="35" t="n">
        <v>0</v>
      </c>
      <c r="O32" s="35" t="n">
        <v>0</v>
      </c>
      <c r="P32" s="35" t="n">
        <v>0</v>
      </c>
      <c r="Q32" s="35" t="n">
        <v>0</v>
      </c>
      <c r="R32" s="35" t="n">
        <v>0</v>
      </c>
      <c r="S32" s="35" t="n">
        <v>0</v>
      </c>
      <c r="T32" s="35">
        <f>SUM(D32:S32)</f>
        <v/>
      </c>
      <c r="U32" s="35">
        <f>B32-T32</f>
        <v/>
      </c>
    </row>
    <row r="33" ht="14.25" customHeight="1" s="134">
      <c r="A33" s="63" t="inlineStr">
        <is>
          <t>Hormigon - Bodega 150m2</t>
        </is>
      </c>
      <c r="B33" s="35" t="n">
        <v>4363.02</v>
      </c>
      <c r="C33" s="35" t="n"/>
      <c r="D33" s="35" t="n">
        <v>4363.02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0</v>
      </c>
      <c r="O33" s="35" t="n">
        <v>0</v>
      </c>
      <c r="P33" s="35" t="n">
        <v>0</v>
      </c>
      <c r="Q33" s="35" t="n">
        <v>0</v>
      </c>
      <c r="R33" s="35" t="n">
        <v>0</v>
      </c>
      <c r="S33" s="35" t="n">
        <v>0</v>
      </c>
      <c r="T33" s="35">
        <f>SUM(D33:S33)</f>
        <v/>
      </c>
      <c r="U33" s="35">
        <f>B33-T33</f>
        <v/>
      </c>
    </row>
    <row r="34" ht="14.25" customHeight="1" s="134">
      <c r="A34" s="11" t="inlineStr">
        <is>
          <t xml:space="preserve"> Chinchi Mano de Obra y Materiales (eléctrico) Bod 150m</t>
        </is>
      </c>
      <c r="B34" s="35" t="n">
        <v>2327.19</v>
      </c>
      <c r="C34" s="35" t="n"/>
      <c r="D34" s="35" t="n">
        <v>0</v>
      </c>
      <c r="E34" s="35" t="n">
        <v>2327.19</v>
      </c>
      <c r="F34" s="35" t="n">
        <v>0</v>
      </c>
      <c r="G34" s="35" t="n">
        <v>0</v>
      </c>
      <c r="H34" s="35" t="n">
        <v>0</v>
      </c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  <c r="N34" s="35" t="n">
        <v>0</v>
      </c>
      <c r="O34" s="35" t="n">
        <v>0</v>
      </c>
      <c r="P34" s="35" t="n">
        <v>0</v>
      </c>
      <c r="Q34" s="35" t="n">
        <v>0</v>
      </c>
      <c r="R34" s="35" t="n">
        <v>0</v>
      </c>
      <c r="S34" s="35" t="n">
        <v>0</v>
      </c>
      <c r="T34" s="35">
        <f>SUM(D34:S34)</f>
        <v/>
      </c>
      <c r="U34" s="35">
        <f>B34-T34</f>
        <v/>
      </c>
    </row>
    <row r="35" ht="14.25" customHeight="1" s="134">
      <c r="A35" s="11" t="inlineStr">
        <is>
          <t>Transporte de Container</t>
        </is>
      </c>
      <c r="B35" s="35" t="n">
        <v>198</v>
      </c>
      <c r="C35" s="35" t="n"/>
      <c r="D35" s="35" t="n">
        <v>198</v>
      </c>
      <c r="E35" s="35" t="n">
        <v>0</v>
      </c>
      <c r="F35" s="35" t="n">
        <v>0</v>
      </c>
      <c r="G35" s="35" t="n">
        <v>0</v>
      </c>
      <c r="H35" s="35" t="n">
        <v>0</v>
      </c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  <c r="N35" s="35" t="n">
        <v>0</v>
      </c>
      <c r="O35" s="35" t="n">
        <v>0</v>
      </c>
      <c r="P35" s="35" t="n">
        <v>0</v>
      </c>
      <c r="Q35" s="35" t="n">
        <v>0</v>
      </c>
      <c r="R35" s="35" t="n">
        <v>0</v>
      </c>
      <c r="S35" s="35" t="n">
        <v>0</v>
      </c>
      <c r="T35" s="35">
        <f>SUM(D35:S35)</f>
        <v/>
      </c>
      <c r="U35" s="35">
        <f>B35-T35</f>
        <v/>
      </c>
    </row>
    <row r="36" ht="14.25" customHeight="1" s="134">
      <c r="A36" s="63" t="inlineStr">
        <is>
          <t xml:space="preserve"> Flores (Mano de obra Const. Compatty 680m2)</t>
        </is>
      </c>
      <c r="B36" s="64">
        <f>10258+4160.13</f>
        <v/>
      </c>
      <c r="C36" s="64" t="n"/>
      <c r="D36" s="35" t="n">
        <v>0</v>
      </c>
      <c r="E36" s="35" t="n">
        <v>0</v>
      </c>
      <c r="F36" s="59">
        <f>+B36/4</f>
        <v/>
      </c>
      <c r="G36" s="59">
        <f>+F36</f>
        <v/>
      </c>
      <c r="H36" s="59">
        <f>+G36</f>
        <v/>
      </c>
      <c r="I36" s="59">
        <f>+H36</f>
        <v/>
      </c>
      <c r="J36" s="35" t="n">
        <v>0</v>
      </c>
      <c r="K36" s="35" t="n">
        <v>0</v>
      </c>
      <c r="L36" s="35" t="n">
        <v>0</v>
      </c>
      <c r="M36" s="35" t="n">
        <v>0</v>
      </c>
      <c r="N36" s="35" t="n">
        <v>0</v>
      </c>
      <c r="O36" s="35" t="n">
        <v>0</v>
      </c>
      <c r="P36" s="35" t="n">
        <v>0</v>
      </c>
      <c r="Q36" s="35" t="n">
        <v>0</v>
      </c>
      <c r="R36" s="35" t="n">
        <v>0</v>
      </c>
      <c r="S36" s="35" t="n">
        <v>0</v>
      </c>
      <c r="T36" s="35">
        <f>SUM(D36:S36)</f>
        <v/>
      </c>
      <c r="U36" s="46">
        <f>B36-T36</f>
        <v/>
      </c>
    </row>
    <row r="37" ht="14.25" customHeight="1" s="134">
      <c r="A37" s="63" t="inlineStr">
        <is>
          <t xml:space="preserve"> Flores (Materiales Const. Compatty 680m2)</t>
        </is>
      </c>
      <c r="B37" s="64">
        <f>12166.54+8860.75</f>
        <v/>
      </c>
      <c r="C37" s="64" t="n"/>
      <c r="D37" s="35" t="n">
        <v>0</v>
      </c>
      <c r="E37" s="35" t="n">
        <v>0</v>
      </c>
      <c r="F37" s="59">
        <f>+B37/4</f>
        <v/>
      </c>
      <c r="G37" s="59">
        <f>+F37</f>
        <v/>
      </c>
      <c r="H37" s="59">
        <f>+G37</f>
        <v/>
      </c>
      <c r="I37" s="59">
        <f>+H37</f>
        <v/>
      </c>
      <c r="J37" s="35" t="n">
        <v>0</v>
      </c>
      <c r="K37" s="35" t="n">
        <v>0</v>
      </c>
      <c r="L37" s="35" t="n">
        <v>0</v>
      </c>
      <c r="M37" s="35" t="n">
        <v>0</v>
      </c>
      <c r="N37" s="35" t="n">
        <v>0</v>
      </c>
      <c r="O37" s="35" t="n">
        <v>0</v>
      </c>
      <c r="P37" s="35" t="n">
        <v>0</v>
      </c>
      <c r="Q37" s="35" t="n">
        <v>0</v>
      </c>
      <c r="R37" s="35" t="n">
        <v>0</v>
      </c>
      <c r="S37" s="35" t="n">
        <v>0</v>
      </c>
      <c r="T37" s="35">
        <f>SUM(D37:S37)</f>
        <v/>
      </c>
      <c r="U37" s="35">
        <f>B37-T37</f>
        <v/>
      </c>
    </row>
    <row r="38" ht="14.25" customHeight="1" s="134">
      <c r="A38" s="11" t="inlineStr">
        <is>
          <t xml:space="preserve"> Flores (Mano de obra Enblocado y Enlucido de Paso Vial)</t>
        </is>
      </c>
      <c r="B38" s="35" t="n">
        <v>3450</v>
      </c>
      <c r="C38" s="35" t="n"/>
      <c r="D38" s="35" t="n">
        <v>0</v>
      </c>
      <c r="E38" s="35">
        <f>+B38*30%</f>
        <v/>
      </c>
      <c r="F38" s="35" t="n">
        <v>0</v>
      </c>
      <c r="G38" s="35" t="n">
        <v>0</v>
      </c>
      <c r="H38" s="35">
        <f>+B38*40%</f>
        <v/>
      </c>
      <c r="I38" s="35" t="n">
        <v>0</v>
      </c>
      <c r="J38" s="35" t="n">
        <v>0</v>
      </c>
      <c r="K38" s="35">
        <f>+B38*30%</f>
        <v/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n">
        <v>0</v>
      </c>
      <c r="R38" s="35" t="n">
        <v>0</v>
      </c>
      <c r="S38" s="35" t="n">
        <v>0</v>
      </c>
      <c r="T38" s="35">
        <f>SUM(D38:S38)</f>
        <v/>
      </c>
      <c r="U38" s="35">
        <f>B38-T38</f>
        <v/>
      </c>
    </row>
    <row r="39" ht="14.25" customHeight="1" s="134">
      <c r="A39" s="11" t="inlineStr">
        <is>
          <t xml:space="preserve"> Flores (MaterialesEnblocado y Enlucido de Paso Vial)</t>
        </is>
      </c>
      <c r="B39" s="35" t="n">
        <v>2643.85</v>
      </c>
      <c r="C39" s="35" t="n"/>
      <c r="D39" s="35" t="n">
        <v>0</v>
      </c>
      <c r="E39" s="35" t="n">
        <v>0</v>
      </c>
      <c r="F39" s="35" t="n">
        <v>0</v>
      </c>
      <c r="G39" s="35" t="n">
        <v>0</v>
      </c>
      <c r="H39" s="35" t="n">
        <v>0</v>
      </c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  <c r="N39" s="35" t="n">
        <v>0</v>
      </c>
      <c r="O39" s="35" t="n">
        <v>0</v>
      </c>
      <c r="P39" s="35" t="n">
        <v>0</v>
      </c>
      <c r="Q39" s="35" t="n">
        <v>0</v>
      </c>
      <c r="R39" s="35" t="n">
        <v>0</v>
      </c>
      <c r="S39" s="35" t="n">
        <v>0</v>
      </c>
      <c r="T39" s="35">
        <f>SUM(D39:S39)</f>
        <v/>
      </c>
      <c r="U39" s="35">
        <f>B39-T39</f>
        <v/>
      </c>
    </row>
    <row r="40" ht="14.25" customHeight="1" s="134">
      <c r="A40" s="11" t="inlineStr">
        <is>
          <t>Estructura Metalica - Sra Ruth Mano de Obra - Bod.680m2 Compatty</t>
        </is>
      </c>
      <c r="B40" s="35" t="n">
        <v>6500</v>
      </c>
      <c r="C40" s="35" t="n"/>
      <c r="D40" s="35" t="n">
        <v>0</v>
      </c>
      <c r="E40" s="35" t="n">
        <v>928.5714285714286</v>
      </c>
      <c r="F40" s="35" t="n">
        <v>928.5714285714286</v>
      </c>
      <c r="G40" s="35" t="n">
        <v>928.5714285714286</v>
      </c>
      <c r="H40" s="35" t="n">
        <v>928.5714285714286</v>
      </c>
      <c r="I40" s="35" t="n">
        <v>928.5714285714286</v>
      </c>
      <c r="J40" s="35" t="n">
        <v>928.5714285714286</v>
      </c>
      <c r="K40" s="35" t="n">
        <v>928.5714285714286</v>
      </c>
      <c r="L40" s="35" t="n">
        <v>0</v>
      </c>
      <c r="M40" s="35" t="n">
        <v>0</v>
      </c>
      <c r="N40" s="35" t="n">
        <v>0</v>
      </c>
      <c r="O40" s="35" t="n">
        <v>0</v>
      </c>
      <c r="P40" s="35" t="n">
        <v>0</v>
      </c>
      <c r="Q40" s="35" t="n">
        <v>0</v>
      </c>
      <c r="R40" s="35" t="n">
        <v>0</v>
      </c>
      <c r="S40" s="35" t="n">
        <v>0</v>
      </c>
      <c r="T40" s="35">
        <f>SUM(D40:S40)</f>
        <v/>
      </c>
      <c r="U40" s="35">
        <f>B40-T40</f>
        <v/>
      </c>
    </row>
    <row r="41" ht="14.25" customHeight="1" s="134">
      <c r="A41" s="11" t="inlineStr">
        <is>
          <t>Estructura Metalica - Sra Ruth Materiales Obra - Bod.680m2 Compatty</t>
        </is>
      </c>
      <c r="B41" s="35" t="n">
        <v>12000</v>
      </c>
      <c r="C41" s="35" t="n"/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4450.18</v>
      </c>
      <c r="I41" s="35" t="n">
        <v>0</v>
      </c>
      <c r="J41" s="35" t="n">
        <v>0</v>
      </c>
      <c r="K41" s="35" t="n">
        <v>7549.82</v>
      </c>
      <c r="L41" s="35" t="n">
        <v>0</v>
      </c>
      <c r="M41" s="35" t="n">
        <v>0</v>
      </c>
      <c r="N41" s="35" t="n">
        <v>0</v>
      </c>
      <c r="O41" s="35" t="n">
        <v>0</v>
      </c>
      <c r="P41" s="35" t="n">
        <v>0</v>
      </c>
      <c r="Q41" s="35" t="n">
        <v>0</v>
      </c>
      <c r="R41" s="35" t="n">
        <v>0</v>
      </c>
      <c r="S41" s="35" t="n">
        <v>0</v>
      </c>
      <c r="T41" s="35">
        <f>SUM(D41:S41)</f>
        <v/>
      </c>
      <c r="U41" s="35">
        <f>B41-T41</f>
        <v/>
      </c>
    </row>
    <row r="42" ht="14.25" customHeight="1" s="134">
      <c r="A42" s="61" t="inlineStr">
        <is>
          <t>Adoquinado — mano de obra</t>
        </is>
      </c>
      <c r="B42" s="65">
        <f>PARAMETROS!$B$35</f>
        <v/>
      </c>
      <c r="C42" s="65" t="n"/>
      <c r="D42" s="35" t="n">
        <v>0</v>
      </c>
      <c r="E42" s="35" t="n">
        <v>0</v>
      </c>
      <c r="F42" s="35" t="n">
        <v>0</v>
      </c>
      <c r="G42" s="35" t="n">
        <v>0</v>
      </c>
      <c r="H42" s="35" t="n">
        <v>0</v>
      </c>
      <c r="I42" s="35" t="n">
        <v>0</v>
      </c>
      <c r="J42" s="35" t="n">
        <v>0</v>
      </c>
      <c r="K42" s="35" t="n">
        <v>0</v>
      </c>
      <c r="L42" s="35" t="n">
        <v>0</v>
      </c>
      <c r="M42" s="35" t="n">
        <v>0</v>
      </c>
      <c r="N42" s="35" t="n">
        <v>0</v>
      </c>
      <c r="O42" s="35" t="n">
        <v>0</v>
      </c>
      <c r="P42" s="35" t="n">
        <v>0</v>
      </c>
      <c r="Q42" s="35" t="n">
        <v>0</v>
      </c>
      <c r="R42" s="35" t="n">
        <v>0</v>
      </c>
      <c r="S42" s="35" t="n">
        <v>0</v>
      </c>
      <c r="T42" s="35">
        <f>SUM(D42:S42)</f>
        <v/>
      </c>
      <c r="U42" s="46">
        <f>B42-T42</f>
        <v/>
      </c>
    </row>
    <row r="43" ht="14.25" customHeight="1" s="134">
      <c r="A43" s="61" t="inlineStr">
        <is>
          <t>Adoquinado — material</t>
        </is>
      </c>
      <c r="B43" s="65">
        <f>PARAMETROS!$B$36</f>
        <v/>
      </c>
      <c r="C43" s="65" t="n"/>
      <c r="D43" s="35" t="n">
        <v>0</v>
      </c>
      <c r="E43" s="35" t="n">
        <v>0</v>
      </c>
      <c r="F43" s="35" t="n">
        <v>0</v>
      </c>
      <c r="G43" s="35" t="n">
        <v>0</v>
      </c>
      <c r="H43" s="35" t="n">
        <v>0</v>
      </c>
      <c r="I43" s="35" t="n">
        <v>0</v>
      </c>
      <c r="J43" s="35" t="n">
        <v>0</v>
      </c>
      <c r="K43" s="35" t="n">
        <v>0</v>
      </c>
      <c r="L43" s="35" t="n">
        <v>0</v>
      </c>
      <c r="M43" s="35" t="n">
        <v>0</v>
      </c>
      <c r="N43" s="35" t="n">
        <v>0</v>
      </c>
      <c r="O43" s="35" t="n">
        <v>0</v>
      </c>
      <c r="P43" s="35" t="n">
        <v>0</v>
      </c>
      <c r="Q43" s="35" t="n">
        <v>0</v>
      </c>
      <c r="R43" s="35" t="n">
        <v>0</v>
      </c>
      <c r="S43" s="35" t="n">
        <v>0</v>
      </c>
      <c r="T43" s="35">
        <f>SUM(D43:S43)</f>
        <v/>
      </c>
      <c r="U43" s="46">
        <f>B43-T43</f>
        <v/>
      </c>
    </row>
    <row r="44" ht="14.25" customHeight="1" s="134">
      <c r="A44" s="11" t="inlineStr">
        <is>
          <t xml:space="preserve">Materiales - Dipac </t>
        </is>
      </c>
      <c r="B44" s="35" t="n">
        <v>2485.14</v>
      </c>
      <c r="C44" s="35" t="n"/>
      <c r="D44" s="35" t="n">
        <v>2485.14</v>
      </c>
      <c r="E44" s="35" t="n">
        <v>0</v>
      </c>
      <c r="F44" s="35" t="n">
        <v>0</v>
      </c>
      <c r="G44" s="35" t="n">
        <v>0</v>
      </c>
      <c r="H44" s="35" t="n">
        <v>0</v>
      </c>
      <c r="I44" s="35" t="n">
        <v>0</v>
      </c>
      <c r="J44" s="35" t="n">
        <v>0</v>
      </c>
      <c r="K44" s="35" t="n">
        <v>0</v>
      </c>
      <c r="L44" s="35" t="n">
        <v>0</v>
      </c>
      <c r="M44" s="35" t="n">
        <v>0</v>
      </c>
      <c r="N44" s="35" t="n">
        <v>0</v>
      </c>
      <c r="O44" s="35" t="n">
        <v>0</v>
      </c>
      <c r="P44" s="35" t="n">
        <v>0</v>
      </c>
      <c r="Q44" s="35" t="n">
        <v>0</v>
      </c>
      <c r="R44" s="35" t="n">
        <v>0</v>
      </c>
      <c r="S44" s="35" t="n">
        <v>0</v>
      </c>
      <c r="T44" s="35">
        <f>SUM(D44:S44)</f>
        <v/>
      </c>
      <c r="U44" s="35">
        <f>B44-T44</f>
        <v/>
      </c>
    </row>
    <row r="45" ht="14.25" customHeight="1" s="134">
      <c r="A45" s="11" t="inlineStr">
        <is>
          <t>Materiales Internegocios - Fact # 20542</t>
        </is>
      </c>
      <c r="B45" s="64" t="n">
        <v>45.59</v>
      </c>
      <c r="C45" s="64" t="n"/>
      <c r="D45" s="35" t="n">
        <v>0</v>
      </c>
      <c r="E45" s="35" t="n">
        <v>0</v>
      </c>
      <c r="F45" s="35" t="n">
        <v>0</v>
      </c>
      <c r="G45" s="35" t="n">
        <v>45.59</v>
      </c>
      <c r="H45" s="35" t="n">
        <v>0</v>
      </c>
      <c r="I45" s="35" t="n">
        <v>0</v>
      </c>
      <c r="J45" s="35" t="n">
        <v>0</v>
      </c>
      <c r="K45" s="35" t="n">
        <v>0</v>
      </c>
      <c r="L45" s="35" t="n">
        <v>0</v>
      </c>
      <c r="M45" s="35" t="n">
        <v>0</v>
      </c>
      <c r="N45" s="35" t="n">
        <v>0</v>
      </c>
      <c r="O45" s="35" t="n">
        <v>0</v>
      </c>
      <c r="P45" s="35" t="n">
        <v>0</v>
      </c>
      <c r="Q45" s="35" t="n">
        <v>0</v>
      </c>
      <c r="R45" s="35" t="n">
        <v>0</v>
      </c>
      <c r="S45" s="35" t="n">
        <v>0</v>
      </c>
      <c r="T45" s="35">
        <f>SUM(D45:S45)</f>
        <v/>
      </c>
      <c r="U45" s="35">
        <f>B45-T45</f>
        <v/>
      </c>
    </row>
    <row r="46" ht="14.25" customHeight="1" s="134">
      <c r="A46" s="11" t="inlineStr">
        <is>
          <t>Materiales Internegocios - Fact # 20514</t>
        </is>
      </c>
      <c r="B46" s="64" t="n">
        <v>520.46</v>
      </c>
      <c r="C46" s="64" t="n"/>
      <c r="D46" s="35" t="n">
        <v>0</v>
      </c>
      <c r="E46" s="35" t="n">
        <v>0</v>
      </c>
      <c r="F46" s="35" t="n">
        <v>0</v>
      </c>
      <c r="G46" s="35" t="n">
        <v>520.46</v>
      </c>
      <c r="H46" s="35" t="n">
        <v>0</v>
      </c>
      <c r="I46" s="35" t="n">
        <v>0</v>
      </c>
      <c r="J46" s="35" t="n">
        <v>0</v>
      </c>
      <c r="K46" s="35" t="n">
        <v>0</v>
      </c>
      <c r="L46" s="35" t="n">
        <v>0</v>
      </c>
      <c r="M46" s="35" t="n">
        <v>0</v>
      </c>
      <c r="N46" s="35" t="n">
        <v>0</v>
      </c>
      <c r="O46" s="35" t="n">
        <v>0</v>
      </c>
      <c r="P46" s="35" t="n">
        <v>0</v>
      </c>
      <c r="Q46" s="35" t="n">
        <v>0</v>
      </c>
      <c r="R46" s="35" t="n">
        <v>0</v>
      </c>
      <c r="S46" s="35" t="n">
        <v>0</v>
      </c>
      <c r="T46" s="35">
        <f>SUM(D46:S46)</f>
        <v/>
      </c>
      <c r="U46" s="35">
        <f>B46-T46</f>
        <v/>
      </c>
    </row>
    <row r="47" ht="14.25" customHeight="1" s="134">
      <c r="A47" s="11" t="inlineStr">
        <is>
          <t>Materiales Internegocios - Fact # 20485</t>
        </is>
      </c>
      <c r="B47" s="64" t="n">
        <v>1253.11</v>
      </c>
      <c r="C47" s="64" t="n"/>
      <c r="D47" s="35" t="n">
        <v>0</v>
      </c>
      <c r="E47" s="35" t="n">
        <v>0</v>
      </c>
      <c r="F47" s="35" t="n">
        <v>0</v>
      </c>
      <c r="G47" s="35" t="n">
        <v>1253.11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0</v>
      </c>
      <c r="O47" s="35" t="n">
        <v>0</v>
      </c>
      <c r="P47" s="35" t="n">
        <v>0</v>
      </c>
      <c r="Q47" s="35" t="n">
        <v>0</v>
      </c>
      <c r="R47" s="35" t="n">
        <v>0</v>
      </c>
      <c r="S47" s="35" t="n">
        <v>0</v>
      </c>
      <c r="T47" s="35">
        <f>SUM(D47:S47)</f>
        <v/>
      </c>
      <c r="U47" s="35">
        <f>B47-T47</f>
        <v/>
      </c>
    </row>
    <row r="48" ht="14.25" customHeight="1" s="134">
      <c r="A48" s="61" t="inlineStr">
        <is>
          <t>Proyección 8 Bod 150m2 (21 -28)</t>
        </is>
      </c>
      <c r="B48" s="65" t="n"/>
      <c r="C48" s="65" t="n"/>
      <c r="D48" s="35" t="n">
        <v>0</v>
      </c>
      <c r="E48" s="35" t="n">
        <v>0</v>
      </c>
      <c r="F48" s="35" t="n">
        <v>0</v>
      </c>
      <c r="G48" s="35" t="n">
        <v>0</v>
      </c>
      <c r="H48" s="35" t="n">
        <v>0</v>
      </c>
      <c r="I48" s="35" t="n">
        <v>0</v>
      </c>
      <c r="J48" s="35" t="n">
        <v>0</v>
      </c>
      <c r="K48" s="35" t="n">
        <v>0</v>
      </c>
      <c r="L48" s="35" t="n">
        <v>0</v>
      </c>
      <c r="M48" s="35" t="n">
        <v>0</v>
      </c>
      <c r="N48" s="35" t="n">
        <v>0</v>
      </c>
      <c r="O48" s="35" t="n">
        <v>0</v>
      </c>
      <c r="P48" s="35" t="n">
        <v>0</v>
      </c>
      <c r="Q48" s="35" t="n">
        <v>0</v>
      </c>
      <c r="R48" s="35" t="n">
        <v>0</v>
      </c>
      <c r="S48" s="35" t="n">
        <v>0</v>
      </c>
      <c r="T48" s="35">
        <f>SUM(D48:S48)</f>
        <v/>
      </c>
      <c r="U48" s="35">
        <f>B48-T48</f>
        <v/>
      </c>
    </row>
    <row r="49" ht="14.25" customHeight="1" s="134">
      <c r="A49" s="39" t="inlineStr">
        <is>
          <t>10 Viajes de arena</t>
        </is>
      </c>
      <c r="B49" s="35">
        <f>10*80</f>
        <v/>
      </c>
      <c r="C49" s="35" t="n"/>
      <c r="D49" s="35" t="n">
        <v>0</v>
      </c>
      <c r="E49" s="35" t="n">
        <v>800</v>
      </c>
      <c r="F49" s="35" t="n">
        <v>0</v>
      </c>
      <c r="G49" s="35" t="n">
        <v>0</v>
      </c>
      <c r="H49" s="35" t="n">
        <v>0</v>
      </c>
      <c r="I49" s="35" t="n">
        <v>0</v>
      </c>
      <c r="J49" s="35" t="n">
        <v>0</v>
      </c>
      <c r="K49" s="35" t="n">
        <v>0</v>
      </c>
      <c r="L49" s="35" t="n">
        <v>0</v>
      </c>
      <c r="M49" s="35" t="n">
        <v>0</v>
      </c>
      <c r="N49" s="35" t="n">
        <v>0</v>
      </c>
      <c r="O49" s="35" t="n">
        <v>0</v>
      </c>
      <c r="P49" s="35" t="n">
        <v>0</v>
      </c>
      <c r="Q49" s="35" t="n">
        <v>0</v>
      </c>
      <c r="R49" s="35" t="n">
        <v>0</v>
      </c>
      <c r="S49" s="35" t="n">
        <v>0</v>
      </c>
      <c r="T49" s="35">
        <f>SUM(D49:S49)</f>
        <v/>
      </c>
      <c r="U49" s="35">
        <f>B49-T49</f>
        <v/>
      </c>
    </row>
    <row r="50" ht="14.25" customHeight="1" s="134">
      <c r="A50" s="47" t="inlineStr">
        <is>
          <t>(nuevo rubro de obra — escriba el nombre y el monto  en TOTAL/META)</t>
        </is>
      </c>
      <c r="B50" s="36" t="n">
        <v>0</v>
      </c>
      <c r="C50" s="67" t="n"/>
      <c r="D50" s="36" t="n">
        <v>0</v>
      </c>
      <c r="E50" s="36" t="n">
        <v>0</v>
      </c>
      <c r="F50" s="36" t="n">
        <v>0</v>
      </c>
      <c r="G50" s="36" t="n">
        <v>0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6" t="n">
        <v>0</v>
      </c>
      <c r="O50" s="36" t="n">
        <v>0</v>
      </c>
      <c r="P50" s="36" t="n">
        <v>0</v>
      </c>
      <c r="Q50" s="36" t="n">
        <v>0</v>
      </c>
      <c r="R50" s="36" t="n">
        <v>0</v>
      </c>
      <c r="S50" s="36" t="n">
        <v>0</v>
      </c>
      <c r="T50" s="35">
        <f>SUM(D50:S50)</f>
        <v/>
      </c>
      <c r="U50" s="35">
        <f>B50-T50</f>
        <v/>
      </c>
    </row>
    <row r="51" ht="14.25" customHeight="1" s="134">
      <c r="A51" s="37" t="inlineStr">
        <is>
          <t>SUBTOTAL EGRESOS DE OBRA</t>
        </is>
      </c>
      <c r="B51" s="38">
        <f>SUM(B23:B50)</f>
        <v/>
      </c>
      <c r="C51" s="68" t="n"/>
      <c r="D51" s="38">
        <f>SUM(D23:D50)</f>
        <v/>
      </c>
      <c r="E51" s="38">
        <f>SUM(E23:E50)</f>
        <v/>
      </c>
      <c r="F51" s="38">
        <f>SUM(F23:F50)</f>
        <v/>
      </c>
      <c r="G51" s="38">
        <f>SUM(G23:G50)</f>
        <v/>
      </c>
      <c r="H51" s="38">
        <f>SUM(H23:H50)</f>
        <v/>
      </c>
      <c r="I51" s="38">
        <f>SUM(I23:I50)</f>
        <v/>
      </c>
      <c r="J51" s="38">
        <f>SUM(J23:J50)</f>
        <v/>
      </c>
      <c r="K51" s="38">
        <f>SUM(K23:K50)</f>
        <v/>
      </c>
      <c r="L51" s="38">
        <f>SUM(L23:L50)</f>
        <v/>
      </c>
      <c r="M51" s="38">
        <f>SUM(M23:M50)</f>
        <v/>
      </c>
      <c r="N51" s="38">
        <f>SUM(N23:N50)</f>
        <v/>
      </c>
      <c r="O51" s="38">
        <f>SUM(O23:O50)</f>
        <v/>
      </c>
      <c r="P51" s="38">
        <f>SUM(P23:P50)</f>
        <v/>
      </c>
      <c r="Q51" s="38">
        <f>SUM(Q23:Q50)</f>
        <v/>
      </c>
      <c r="R51" s="38">
        <f>SUM(R23:R50)</f>
        <v/>
      </c>
      <c r="S51" s="38">
        <f>SUM(S23:S50)</f>
        <v/>
      </c>
      <c r="T51" s="38">
        <f>SUM(T23:T50)</f>
        <v/>
      </c>
      <c r="U51" s="38">
        <f>SUM(U23:U50)</f>
        <v/>
      </c>
    </row>
    <row r="52" ht="14.25" customHeight="1" s="134"/>
    <row r="53" ht="18" customHeight="1" s="134">
      <c r="A53" s="48" t="inlineStr">
        <is>
          <t>TOTAL EGRESOS (fijos + obra)</t>
        </is>
      </c>
      <c r="B53" s="49" t="n"/>
      <c r="C53" s="49" t="n"/>
      <c r="D53" s="50">
        <f>D21+D51</f>
        <v/>
      </c>
      <c r="E53" s="50">
        <f>E21+E51</f>
        <v/>
      </c>
      <c r="F53" s="50">
        <f>F21+F51</f>
        <v/>
      </c>
      <c r="G53" s="50">
        <f>G21+G51</f>
        <v/>
      </c>
      <c r="H53" s="50">
        <f>H21+H51</f>
        <v/>
      </c>
      <c r="I53" s="50">
        <f>I21+I51</f>
        <v/>
      </c>
      <c r="J53" s="50">
        <f>J21+J51</f>
        <v/>
      </c>
      <c r="K53" s="50">
        <f>K21+K51</f>
        <v/>
      </c>
      <c r="L53" s="50">
        <f>L21+L51</f>
        <v/>
      </c>
      <c r="M53" s="50">
        <f>M21+M51</f>
        <v/>
      </c>
      <c r="N53" s="50">
        <f>N21+N51</f>
        <v/>
      </c>
      <c r="O53" s="50">
        <f>O21+O51</f>
        <v/>
      </c>
      <c r="P53" s="50">
        <f>P21+P51</f>
        <v/>
      </c>
      <c r="Q53" s="50">
        <f>Q21+Q51</f>
        <v/>
      </c>
      <c r="R53" s="50">
        <f>R21+R51</f>
        <v/>
      </c>
      <c r="S53" s="50">
        <f>S21+S51</f>
        <v/>
      </c>
      <c r="T53" s="49" t="n"/>
      <c r="U53" s="49" t="n"/>
      <c r="V53" s="49" t="n"/>
      <c r="W53" s="49" t="n"/>
      <c r="X53" s="49" t="n"/>
      <c r="Y53" s="49" t="n"/>
      <c r="Z53" s="49" t="n"/>
      <c r="AA53" s="49" t="n"/>
    </row>
    <row r="54" ht="18" customHeight="1" s="134">
      <c r="A54" s="15" t="inlineStr">
        <is>
          <t>FLUJO NETO DE LA SEMANA</t>
        </is>
      </c>
      <c r="B54" s="49" t="n"/>
      <c r="C54" s="49" t="n"/>
      <c r="D54" s="51">
        <f>D11-D53</f>
        <v/>
      </c>
      <c r="E54" s="51">
        <f>E11-E53</f>
        <v/>
      </c>
      <c r="F54" s="51">
        <f>F11-F53</f>
        <v/>
      </c>
      <c r="G54" s="51">
        <f>G11-G53</f>
        <v/>
      </c>
      <c r="H54" s="51">
        <f>H11-H53</f>
        <v/>
      </c>
      <c r="I54" s="51">
        <f>I11-I53</f>
        <v/>
      </c>
      <c r="J54" s="51">
        <f>J11-J53</f>
        <v/>
      </c>
      <c r="K54" s="51">
        <f>K11-K53</f>
        <v/>
      </c>
      <c r="L54" s="51">
        <f>L11-L53</f>
        <v/>
      </c>
      <c r="M54" s="51">
        <f>M11-M53</f>
        <v/>
      </c>
      <c r="N54" s="51">
        <f>N11-N53</f>
        <v/>
      </c>
      <c r="O54" s="51">
        <f>O11-O53</f>
        <v/>
      </c>
      <c r="P54" s="51">
        <f>P11-P53</f>
        <v/>
      </c>
      <c r="Q54" s="51">
        <f>Q11-Q53</f>
        <v/>
      </c>
      <c r="R54" s="51">
        <f>R11-R53</f>
        <v/>
      </c>
      <c r="S54" s="51">
        <f>S11-S53</f>
        <v/>
      </c>
      <c r="T54" s="49" t="n"/>
      <c r="U54" s="49" t="n"/>
      <c r="V54" s="49" t="n"/>
      <c r="W54" s="49" t="n"/>
      <c r="X54" s="49" t="n"/>
      <c r="Y54" s="49" t="n"/>
      <c r="Z54" s="49" t="n"/>
      <c r="AA54" s="49" t="n"/>
    </row>
    <row r="55" ht="18" customHeight="1" s="134">
      <c r="A55" s="24" t="inlineStr">
        <is>
          <t>SALDO FINAL DE CAJA</t>
        </is>
      </c>
      <c r="B55" s="49" t="n"/>
      <c r="C55" s="49" t="n"/>
      <c r="D55" s="52">
        <f>D6+D54</f>
        <v/>
      </c>
      <c r="E55" s="52">
        <f>E6+E54</f>
        <v/>
      </c>
      <c r="F55" s="52">
        <f>F6+F54</f>
        <v/>
      </c>
      <c r="G55" s="52">
        <f>G6+G54</f>
        <v/>
      </c>
      <c r="H55" s="52">
        <f>H6+H54</f>
        <v/>
      </c>
      <c r="I55" s="52">
        <f>I6+I54</f>
        <v/>
      </c>
      <c r="J55" s="52">
        <f>J6+J54</f>
        <v/>
      </c>
      <c r="K55" s="52">
        <f>K6+K54</f>
        <v/>
      </c>
      <c r="L55" s="52">
        <f>L6+L54</f>
        <v/>
      </c>
      <c r="M55" s="52">
        <f>M6+M54</f>
        <v/>
      </c>
      <c r="N55" s="52">
        <f>N6+N54</f>
        <v/>
      </c>
      <c r="O55" s="52">
        <f>O6+O54</f>
        <v/>
      </c>
      <c r="P55" s="52">
        <f>P6+P54</f>
        <v/>
      </c>
      <c r="Q55" s="52">
        <f>Q6+Q54</f>
        <v/>
      </c>
      <c r="R55" s="52">
        <f>R6+R54</f>
        <v/>
      </c>
      <c r="S55" s="52">
        <f>S6+S54</f>
        <v/>
      </c>
      <c r="T55" s="49" t="n"/>
      <c r="U55" s="49" t="n"/>
      <c r="V55" s="49" t="n"/>
      <c r="W55" s="49" t="n"/>
      <c r="X55" s="49" t="n"/>
      <c r="Y55" s="49" t="n"/>
      <c r="Z55" s="49" t="n"/>
      <c r="AA55" s="49" t="n"/>
    </row>
    <row r="56" ht="14.25" customHeight="1" s="134"/>
    <row r="57" ht="14.25" customHeight="1" s="134">
      <c r="A57" s="39" t="inlineStr">
        <is>
          <t>Caja mínima de seguridad (referencia)</t>
        </is>
      </c>
      <c r="D57" s="53">
        <f>PARAMETROS!$B$28</f>
        <v/>
      </c>
      <c r="E57" s="53">
        <f>PARAMETROS!$B$28</f>
        <v/>
      </c>
      <c r="F57" s="53">
        <f>PARAMETROS!$B$28</f>
        <v/>
      </c>
      <c r="G57" s="53">
        <f>PARAMETROS!$B$28</f>
        <v/>
      </c>
      <c r="H57" s="53">
        <f>PARAMETROS!$B$28</f>
        <v/>
      </c>
      <c r="I57" s="53">
        <f>PARAMETROS!$B$28</f>
        <v/>
      </c>
      <c r="J57" s="53">
        <f>PARAMETROS!$B$28</f>
        <v/>
      </c>
      <c r="K57" s="53">
        <f>PARAMETROS!$B$28</f>
        <v/>
      </c>
      <c r="L57" s="53">
        <f>PARAMETROS!$B$28</f>
        <v/>
      </c>
      <c r="M57" s="53">
        <f>PARAMETROS!$B$28</f>
        <v/>
      </c>
      <c r="N57" s="53">
        <f>PARAMETROS!$B$28</f>
        <v/>
      </c>
      <c r="O57" s="53">
        <f>PARAMETROS!$B$28</f>
        <v/>
      </c>
      <c r="P57" s="53">
        <f>PARAMETROS!$B$28</f>
        <v/>
      </c>
      <c r="Q57" s="53">
        <f>PARAMETROS!$B$28</f>
        <v/>
      </c>
      <c r="R57" s="53">
        <f>PARAMETROS!$B$28</f>
        <v/>
      </c>
      <c r="S57" s="53">
        <f>PARAMETROS!$B$28</f>
        <v/>
      </c>
    </row>
    <row r="58" ht="14.25" customHeight="1" s="134">
      <c r="A58" s="39" t="inlineStr">
        <is>
          <t>Colchón sobre el mínimo (saldo final − mínimo)</t>
        </is>
      </c>
      <c r="D58" s="54">
        <f>D55-D57</f>
        <v/>
      </c>
      <c r="E58" s="54">
        <f>E55-E57</f>
        <v/>
      </c>
      <c r="F58" s="54">
        <f>F55-F57</f>
        <v/>
      </c>
      <c r="G58" s="54">
        <f>G55-G57</f>
        <v/>
      </c>
      <c r="H58" s="54">
        <f>H55-H57</f>
        <v/>
      </c>
      <c r="I58" s="54">
        <f>I55-I57</f>
        <v/>
      </c>
      <c r="J58" s="54">
        <f>J55-J57</f>
        <v/>
      </c>
      <c r="K58" s="54">
        <f>K55-K57</f>
        <v/>
      </c>
      <c r="L58" s="54">
        <f>L55-L57</f>
        <v/>
      </c>
      <c r="M58" s="54">
        <f>M55-M57</f>
        <v/>
      </c>
      <c r="N58" s="54">
        <f>N55-N57</f>
        <v/>
      </c>
      <c r="O58" s="54">
        <f>O55-O57</f>
        <v/>
      </c>
      <c r="P58" s="54">
        <f>P55-P57</f>
        <v/>
      </c>
      <c r="Q58" s="54">
        <f>Q55-Q57</f>
        <v/>
      </c>
      <c r="R58" s="54">
        <f>R55-R57</f>
        <v/>
      </c>
      <c r="S58" s="54">
        <f>S55-S57</f>
        <v/>
      </c>
    </row>
    <row r="59" ht="14.25" customHeight="1" s="134">
      <c r="A59" s="15" t="inlineStr">
        <is>
          <t>ESTADO DE LA SEMANA</t>
        </is>
      </c>
      <c r="D59" s="55">
        <f>IF(D55&lt;0,"🔴 NEGATIVO",IF(D55&lt;D57,"🟠 ALERTA","🟢 OK"))</f>
        <v/>
      </c>
      <c r="E59" s="55">
        <f>IF(E55&lt;0,"🔴 NEGATIVO",IF(E55&lt;E57,"🟠 ALERTA","🟢 OK"))</f>
        <v/>
      </c>
      <c r="F59" s="55">
        <f>IF(F55&lt;0,"🔴 NEGATIVO",IF(F55&lt;F57,"🟠 ALERTA","🟢 OK"))</f>
        <v/>
      </c>
      <c r="G59" s="55">
        <f>IF(G55&lt;0,"🔴 NEGATIVO",IF(G55&lt;G57,"🟠 ALERTA","🟢 OK"))</f>
        <v/>
      </c>
      <c r="H59" s="55">
        <f>IF(H55&lt;0,"🔴 NEGATIVO",IF(H55&lt;H57,"🟠 ALERTA","🟢 OK"))</f>
        <v/>
      </c>
      <c r="I59" s="55">
        <f>IF(I55&lt;0,"🔴 NEGATIVO",IF(I55&lt;I57,"🟠 ALERTA","🟢 OK"))</f>
        <v/>
      </c>
      <c r="J59" s="55">
        <f>IF(J55&lt;0,"🔴 NEGATIVO",IF(J55&lt;J57,"🟠 ALERTA","🟢 OK"))</f>
        <v/>
      </c>
      <c r="K59" s="55">
        <f>IF(K55&lt;0,"🔴 NEGATIVO",IF(K55&lt;K57,"🟠 ALERTA","🟢 OK"))</f>
        <v/>
      </c>
      <c r="L59" s="55">
        <f>IF(L55&lt;0,"🔴 NEGATIVO",IF(L55&lt;L57,"🟠 ALERTA","🟢 OK"))</f>
        <v/>
      </c>
      <c r="M59" s="55">
        <f>IF(M55&lt;0,"🔴 NEGATIVO",IF(M55&lt;M57,"🟠 ALERTA","🟢 OK"))</f>
        <v/>
      </c>
      <c r="N59" s="55">
        <f>IF(N55&lt;0,"🔴 NEGATIVO",IF(N55&lt;N57,"🟠 ALERTA","🟢 OK"))</f>
        <v/>
      </c>
      <c r="O59" s="55">
        <f>IF(O55&lt;0,"🔴 NEGATIVO",IF(O55&lt;O57,"🟠 ALERTA","🟢 OK"))</f>
        <v/>
      </c>
      <c r="P59" s="55">
        <f>IF(P55&lt;0,"🔴 NEGATIVO",IF(P55&lt;P57,"🟠 ALERTA","🟢 OK"))</f>
        <v/>
      </c>
      <c r="Q59" s="55">
        <f>IF(Q55&lt;0,"🔴 NEGATIVO",IF(Q55&lt;Q57,"🟠 ALERTA","🟢 OK"))</f>
        <v/>
      </c>
      <c r="R59" s="55">
        <f>IF(R55&lt;0,"🔴 NEGATIVO",IF(R55&lt;R57,"🟠 ALERTA","🟢 OK"))</f>
        <v/>
      </c>
      <c r="S59" s="55">
        <f>IF(S55&lt;0,"🔴 NEGATIVO",IF(S55&lt;S57,"🟠 ALERTA","🟢 OK"))</f>
        <v/>
      </c>
    </row>
    <row r="60" ht="14.25" customHeight="1" s="134"/>
    <row r="61" ht="14.25" customHeight="1" s="134">
      <c r="A61" s="39" t="inlineStr">
        <is>
          <t>DÉFICIT PROYECTADO — mirando 1 semana adelante (plazo Agroaéreo)</t>
        </is>
      </c>
      <c r="D61" s="56">
        <f>MIN(0,E55-E57)</f>
        <v/>
      </c>
      <c r="E61" s="56">
        <f>MIN(0,F55-F57)</f>
        <v/>
      </c>
      <c r="F61" s="56">
        <f>MIN(0,G55-G57)</f>
        <v/>
      </c>
      <c r="G61" s="56">
        <f>MIN(0,H55-H57)</f>
        <v/>
      </c>
      <c r="H61" s="56">
        <f>MIN(0,I55-I57)</f>
        <v/>
      </c>
      <c r="I61" s="56">
        <f>MIN(0,J55-J57)</f>
        <v/>
      </c>
      <c r="J61" s="56">
        <f>MIN(0,K55-K57)</f>
        <v/>
      </c>
      <c r="K61" s="56">
        <f>MIN(0,L55-L57)</f>
        <v/>
      </c>
      <c r="L61" s="56">
        <f>MIN(0,M55-M57)</f>
        <v/>
      </c>
      <c r="M61" s="56">
        <f>MIN(0,N55-N57)</f>
        <v/>
      </c>
      <c r="N61" s="56">
        <f>MIN(0,O55-O57)</f>
        <v/>
      </c>
      <c r="O61" s="56">
        <f>MIN(0,P55-P57)</f>
        <v/>
      </c>
      <c r="P61" s="56">
        <f>MIN(0,Q55-Q57)</f>
        <v/>
      </c>
      <c r="Q61" s="56">
        <f>MIN(0,R55-R57)</f>
        <v/>
      </c>
      <c r="R61" s="56">
        <f>MIN(0,S55-S57)</f>
        <v/>
      </c>
      <c r="S61" s="55" t="inlineStr">
        <is>
          <t>—</t>
        </is>
      </c>
    </row>
    <row r="62" ht="55.5" customHeight="1" s="134">
      <c r="A62" s="57" t="inlineStr">
        <is>
          <t>➤ ACCIÓN: SOLICITAR A AGROAÉREO ESTA SEMANA</t>
        </is>
      </c>
      <c r="B62" s="49" t="n"/>
      <c r="C62" s="49" t="n"/>
      <c r="D62" s="58">
        <f>IF(D61&lt;0,"Pedir "&amp;TEXT(-D61,"$#,#0")&amp;" ahora para SEM 38","No se requiere")</f>
        <v/>
      </c>
      <c r="E62" s="58">
        <f>IF(E61&lt;0,"Pedir "&amp;TEXT(-E61,"$#,#0")&amp;" ahora para SEM 39","No se requiere")</f>
        <v/>
      </c>
      <c r="F62" s="58">
        <f>IF(F61&lt;0,"Pedir "&amp;TEXT(-F61,"$#,#0")&amp;" ahora para SEM 39","No se requiere")</f>
        <v/>
      </c>
      <c r="G62" s="58">
        <f>IF(G61&lt;0,"Pedir "&amp;TEXT(-G61,"$#,#0")&amp;" ahora para SEM 41","No se requiere")</f>
        <v/>
      </c>
      <c r="H62" s="58">
        <f>IF(H61&lt;0,"Pedir "&amp;TEXT(-H61,"$#,#0")&amp;" ahora para SEM 42","No se requiere")</f>
        <v/>
      </c>
      <c r="I62" s="58">
        <f>IF(I61&lt;0,"Pedir "&amp;TEXT(-I61,"$#,#0")&amp;" ahora para SEM 43","No se requiere")</f>
        <v/>
      </c>
      <c r="J62" s="58">
        <f>IF(J61&lt;0,"Pedir "&amp;TEXT(-J61,"$#,#0")&amp;" ahora para SEM 44","No se requiere")</f>
        <v/>
      </c>
      <c r="K62" s="58">
        <f>IF(K61&lt;0,"Pedir "&amp;TEXT(-K61,"$#,#0")&amp;" ahora para SEM 45","No se requiere")</f>
        <v/>
      </c>
      <c r="L62" s="58">
        <f>IF(L61&lt;0,"Pedir "&amp;TEXT(-L61,"$#,#0")&amp;" ahora para SEM 46","No se requiere")</f>
        <v/>
      </c>
      <c r="M62" s="58">
        <f>IF(M61&lt;0,"Pedir "&amp;TEXT(-M61,"$#,#0")&amp;" ahora para SEM 47","No se requiere")</f>
        <v/>
      </c>
      <c r="N62" s="58">
        <f>IF(N61&lt;0,"Pedir "&amp;TEXT(-N61,"$#,#0")&amp;" ahora para SEM 48","No se requiere")</f>
        <v/>
      </c>
      <c r="O62" s="58">
        <f>IF(O61&lt;0,"Pedir "&amp;TEXT(-O61,"$#,#0")&amp;" ahora para SEM 49","No se requiere")</f>
        <v/>
      </c>
      <c r="P62" s="58">
        <f>IF(P61&lt;0,"Pedir "&amp;TEXT(-P61,"$#,#0")&amp;" ahora para SEM 50","No se requiere")</f>
        <v/>
      </c>
      <c r="Q62" s="58">
        <f>IF(Q61&lt;0,"Pedir "&amp;TEXT(-Q61,"$#,#0")&amp;" ahora para SEM 51","No se requiere")</f>
        <v/>
      </c>
      <c r="R62" s="58">
        <f>IF(R61&lt;0,"Pedir "&amp;TEXT(-R61,"$#,#0")&amp;" ahora para SEM 52","No se requiere")</f>
        <v/>
      </c>
      <c r="S62" s="58">
        <f>IF(S61&lt;0,"Pedir "&amp;TEXT(-S61,"$#,#0")&amp;" ahora para SEM 52","No se requiere")</f>
        <v/>
      </c>
      <c r="T62" s="49" t="n"/>
      <c r="U62" s="49" t="n"/>
      <c r="V62" s="49" t="n"/>
      <c r="W62" s="49" t="n"/>
      <c r="X62" s="49" t="n"/>
      <c r="Y62" s="49" t="n"/>
      <c r="Z62" s="49" t="n"/>
      <c r="AA62" s="49" t="n"/>
    </row>
    <row r="63" ht="14.25" customHeight="1" s="134"/>
    <row r="64" ht="14.25" customHeight="1" s="134"/>
    <row r="65" ht="14.25" customHeight="1" s="134"/>
    <row r="66" ht="14.25" customHeight="1" s="134"/>
    <row r="67" ht="14.25" customHeight="1" s="134">
      <c r="D67">
        <f>(+B30+B31+B34+B29+B32)*8</f>
        <v/>
      </c>
    </row>
    <row r="68" ht="14.25" customHeight="1" s="134"/>
    <row r="69" ht="14.25" customHeight="1" s="134"/>
    <row r="70" ht="14.25" customHeight="1" s="134"/>
    <row r="71" ht="14.25" customHeight="1" s="134"/>
    <row r="72" ht="14.25" customHeight="1" s="134"/>
    <row r="73" ht="14.25" customHeight="1" s="134"/>
    <row r="74" ht="14.25" customHeight="1" s="134"/>
    <row r="75" ht="14.25" customHeight="1" s="134"/>
    <row r="76" ht="14.25" customHeight="1" s="134"/>
    <row r="77" ht="14.25" customHeight="1" s="134"/>
    <row r="78" ht="14.25" customHeight="1" s="134"/>
    <row r="79" ht="14.25" customHeight="1" s="134"/>
    <row r="80" ht="14.25" customHeight="1" s="134"/>
    <row r="81" ht="14.25" customHeight="1" s="134"/>
    <row r="82" ht="14.25" customHeight="1" s="134"/>
    <row r="83" ht="14.25" customHeight="1" s="134"/>
    <row r="84" ht="14.25" customHeight="1" s="134"/>
    <row r="85" ht="14.25" customHeight="1" s="134"/>
    <row r="86" ht="14.25" customHeight="1" s="134"/>
    <row r="87" ht="14.25" customHeight="1" s="134"/>
    <row r="88" ht="14.25" customHeight="1" s="134"/>
    <row r="89" ht="14.25" customHeight="1" s="134"/>
    <row r="90" ht="14.25" customHeight="1" s="134"/>
    <row r="91" ht="14.25" customHeight="1" s="134"/>
    <row r="92" ht="14.25" customHeight="1" s="134"/>
    <row r="93" ht="14.25" customHeight="1" s="134"/>
    <row r="94" ht="14.25" customHeight="1" s="134"/>
    <row r="95" ht="14.25" customHeight="1" s="134"/>
    <row r="96" ht="14.25" customHeight="1" s="134"/>
    <row r="97" ht="14.25" customHeight="1" s="134"/>
    <row r="98" ht="14.25" customHeight="1" s="134"/>
    <row r="99" ht="14.25" customHeight="1" s="134"/>
    <row r="100" ht="14.25" customHeight="1" s="134"/>
    <row r="101" ht="14.25" customHeight="1" s="134"/>
    <row r="102" ht="14.25" customHeight="1" s="134"/>
    <row r="103" ht="14.25" customHeight="1" s="134"/>
    <row r="104" ht="14.25" customHeight="1" s="134"/>
    <row r="105" ht="14.25" customHeight="1" s="134"/>
    <row r="106" ht="14.25" customHeight="1" s="134"/>
    <row r="107" ht="14.25" customHeight="1" s="134"/>
    <row r="108" ht="14.25" customHeight="1" s="134"/>
    <row r="109" ht="14.25" customHeight="1" s="134"/>
    <row r="110" ht="14.25" customHeight="1" s="134"/>
    <row r="111" ht="14.25" customHeight="1" s="134"/>
    <row r="112" ht="14.25" customHeight="1" s="134"/>
    <row r="113" ht="14.25" customHeight="1" s="134"/>
    <row r="114" ht="14.25" customHeight="1" s="134"/>
    <row r="115" ht="14.25" customHeight="1" s="134"/>
    <row r="116" ht="14.25" customHeight="1" s="134"/>
    <row r="117" ht="14.25" customHeight="1" s="134"/>
    <row r="118" ht="14.25" customHeight="1" s="134"/>
    <row r="119" ht="14.25" customHeight="1" s="134"/>
    <row r="120" ht="14.25" customHeight="1" s="134"/>
    <row r="121" ht="14.25" customHeight="1" s="134"/>
    <row r="122" ht="14.25" customHeight="1" s="134"/>
    <row r="123" ht="14.25" customHeight="1" s="134"/>
    <row r="124" ht="14.25" customHeight="1" s="134"/>
    <row r="125" ht="14.25" customHeight="1" s="134"/>
    <row r="126" ht="14.25" customHeight="1" s="134"/>
    <row r="127" ht="14.25" customHeight="1" s="134"/>
    <row r="128" ht="14.25" customHeight="1" s="134"/>
    <row r="129" ht="14.25" customHeight="1" s="134"/>
    <row r="130" ht="14.25" customHeight="1" s="134"/>
    <row r="131" ht="14.25" customHeight="1" s="134"/>
    <row r="132" ht="14.25" customHeight="1" s="134"/>
    <row r="133" ht="14.25" customHeight="1" s="134"/>
    <row r="134" ht="14.25" customHeight="1" s="134"/>
    <row r="135" ht="14.25" customHeight="1" s="134"/>
    <row r="136" ht="14.25" customHeight="1" s="134"/>
    <row r="137" ht="14.25" customHeight="1" s="134"/>
    <row r="138" ht="14.25" customHeight="1" s="134"/>
    <row r="139" ht="14.25" customHeight="1" s="134"/>
    <row r="140" ht="14.25" customHeight="1" s="134"/>
    <row r="141" ht="14.25" customHeight="1" s="134"/>
    <row r="142" ht="14.25" customHeight="1" s="134"/>
    <row r="143" ht="14.25" customHeight="1" s="134"/>
    <row r="144" ht="14.25" customHeight="1" s="134"/>
    <row r="145" ht="14.25" customHeight="1" s="134"/>
    <row r="146" ht="14.25" customHeight="1" s="134"/>
    <row r="147" ht="14.25" customHeight="1" s="134"/>
    <row r="148" ht="14.25" customHeight="1" s="134"/>
    <row r="149" ht="14.25" customHeight="1" s="134"/>
    <row r="150" ht="14.25" customHeight="1" s="134"/>
    <row r="151" ht="14.25" customHeight="1" s="134"/>
    <row r="152" ht="14.25" customHeight="1" s="134"/>
    <row r="153" ht="14.25" customHeight="1" s="134"/>
    <row r="154" ht="14.25" customHeight="1" s="134"/>
    <row r="155" ht="14.25" customHeight="1" s="134"/>
    <row r="156" ht="14.25" customHeight="1" s="134"/>
    <row r="157" ht="14.25" customHeight="1" s="134"/>
    <row r="158" ht="14.25" customHeight="1" s="134"/>
    <row r="159" ht="14.25" customHeight="1" s="134"/>
    <row r="160" ht="14.25" customHeight="1" s="134"/>
    <row r="161" ht="14.25" customHeight="1" s="134"/>
    <row r="162" ht="14.25" customHeight="1" s="134"/>
    <row r="163" ht="14.25" customHeight="1" s="134"/>
    <row r="164" ht="14.25" customHeight="1" s="134"/>
    <row r="165" ht="14.25" customHeight="1" s="134"/>
    <row r="166" ht="14.25" customHeight="1" s="134"/>
    <row r="167" ht="14.25" customHeight="1" s="134"/>
    <row r="168" ht="14.25" customHeight="1" s="134"/>
    <row r="169" ht="14.25" customHeight="1" s="134"/>
    <row r="170" ht="14.25" customHeight="1" s="134"/>
    <row r="171" ht="14.25" customHeight="1" s="134"/>
    <row r="172" ht="14.25" customHeight="1" s="134"/>
    <row r="173" ht="14.25" customHeight="1" s="134"/>
    <row r="174" ht="14.25" customHeight="1" s="134"/>
    <row r="175" ht="14.25" customHeight="1" s="134"/>
    <row r="176" ht="14.25" customHeight="1" s="134"/>
    <row r="177" ht="14.25" customHeight="1" s="134"/>
    <row r="178" ht="14.25" customHeight="1" s="134"/>
    <row r="179" ht="14.25" customHeight="1" s="134"/>
    <row r="180" ht="14.25" customHeight="1" s="134"/>
    <row r="181" ht="14.25" customHeight="1" s="134"/>
    <row r="182" ht="14.25" customHeight="1" s="134"/>
    <row r="183" ht="14.25" customHeight="1" s="134"/>
    <row r="184" ht="14.25" customHeight="1" s="134"/>
    <row r="185" ht="14.25" customHeight="1" s="134"/>
    <row r="186" ht="14.25" customHeight="1" s="134"/>
    <row r="187" ht="14.25" customHeight="1" s="134"/>
    <row r="188" ht="14.25" customHeight="1" s="134"/>
    <row r="189" ht="14.25" customHeight="1" s="134"/>
    <row r="190" ht="14.25" customHeight="1" s="134"/>
    <row r="191" ht="14.25" customHeight="1" s="134"/>
    <row r="192" ht="14.25" customHeight="1" s="134"/>
    <row r="193" ht="14.25" customHeight="1" s="134"/>
    <row r="194" ht="14.25" customHeight="1" s="134"/>
    <row r="195" ht="14.25" customHeight="1" s="134"/>
    <row r="196" ht="14.25" customHeight="1" s="134"/>
    <row r="197" ht="14.25" customHeight="1" s="134"/>
    <row r="198" ht="14.25" customHeight="1" s="134"/>
    <row r="199" ht="14.25" customHeight="1" s="134"/>
    <row r="200" ht="14.25" customHeight="1" s="134"/>
    <row r="201" ht="14.25" customHeight="1" s="134"/>
    <row r="202" ht="14.25" customHeight="1" s="134"/>
    <row r="203" ht="14.25" customHeight="1" s="134"/>
    <row r="204" ht="14.25" customHeight="1" s="134"/>
    <row r="205" ht="14.25" customHeight="1" s="134"/>
    <row r="206" ht="14.25" customHeight="1" s="134"/>
    <row r="207" ht="14.25" customHeight="1" s="134"/>
    <row r="208" ht="14.25" customHeight="1" s="134"/>
    <row r="209" ht="14.25" customHeight="1" s="134"/>
    <row r="210" ht="14.25" customHeight="1" s="134"/>
    <row r="211" ht="14.25" customHeight="1" s="134"/>
    <row r="212" ht="14.25" customHeight="1" s="134"/>
    <row r="213" ht="14.25" customHeight="1" s="134"/>
    <row r="214" ht="14.25" customHeight="1" s="134"/>
    <row r="215" ht="14.25" customHeight="1" s="134"/>
    <row r="216" ht="14.25" customHeight="1" s="134"/>
    <row r="217" ht="14.25" customHeight="1" s="134"/>
    <row r="218" ht="14.25" customHeight="1" s="134"/>
    <row r="219" ht="14.25" customHeight="1" s="134"/>
    <row r="220" ht="14.25" customHeight="1" s="134"/>
    <row r="221" ht="14.25" customHeight="1" s="134"/>
    <row r="222" ht="14.25" customHeight="1" s="134"/>
    <row r="223" ht="14.25" customHeight="1" s="134"/>
    <row r="224" ht="14.25" customHeight="1" s="134"/>
    <row r="225" ht="14.25" customHeight="1" s="134"/>
    <row r="226" ht="14.25" customHeight="1" s="134"/>
    <row r="227" ht="14.25" customHeight="1" s="134"/>
    <row r="228" ht="14.25" customHeight="1" s="134"/>
    <row r="229" ht="14.25" customHeight="1" s="134"/>
    <row r="230" ht="14.25" customHeight="1" s="134"/>
    <row r="231" ht="14.25" customHeight="1" s="134"/>
    <row r="232" ht="14.25" customHeight="1" s="134"/>
    <row r="233" ht="14.25" customHeight="1" s="134"/>
    <row r="234" ht="14.25" customHeight="1" s="134"/>
    <row r="235" ht="14.25" customHeight="1" s="134"/>
    <row r="236" ht="14.25" customHeight="1" s="134"/>
    <row r="237" ht="14.25" customHeight="1" s="134"/>
    <row r="238" ht="14.25" customHeight="1" s="134"/>
    <row r="239" ht="14.25" customHeight="1" s="134"/>
    <row r="240" ht="14.25" customHeight="1" s="134"/>
    <row r="241" ht="14.25" customHeight="1" s="134"/>
    <row r="242" ht="14.25" customHeight="1" s="134"/>
    <row r="243" ht="14.25" customHeight="1" s="134"/>
    <row r="244" ht="14.25" customHeight="1" s="134"/>
    <row r="245" ht="14.25" customHeight="1" s="134"/>
    <row r="246" ht="14.25" customHeight="1" s="134"/>
    <row r="247" ht="14.25" customHeight="1" s="134"/>
    <row r="248" ht="14.25" customHeight="1" s="134"/>
    <row r="249" ht="14.25" customHeight="1" s="134"/>
    <row r="250" ht="14.25" customHeight="1" s="134"/>
    <row r="251" ht="14.25" customHeight="1" s="134"/>
    <row r="252" ht="14.25" customHeight="1" s="134"/>
    <row r="253" ht="14.25" customHeight="1" s="134"/>
    <row r="254" ht="14.25" customHeight="1" s="134"/>
    <row r="255" ht="14.25" customHeight="1" s="134"/>
    <row r="256" ht="14.25" customHeight="1" s="134"/>
    <row r="257" ht="14.25" customHeight="1" s="134"/>
    <row r="258" ht="14.25" customHeight="1" s="134"/>
    <row r="259" ht="14.25" customHeight="1" s="134"/>
    <row r="260" ht="14.25" customHeight="1" s="134"/>
    <row r="261" ht="14.25" customHeight="1" s="134"/>
    <row r="262" ht="14.25" customHeight="1" s="134"/>
    <row r="263" ht="14.25" customHeight="1" s="134"/>
    <row r="264" ht="14.25" customHeight="1" s="134"/>
    <row r="265" ht="14.25" customHeight="1" s="134"/>
    <row r="266" ht="14.25" customHeight="1" s="134"/>
    <row r="267" ht="14.25" customHeight="1" s="134"/>
    <row r="268" ht="14.25" customHeight="1" s="134"/>
    <row r="269" ht="14.25" customHeight="1" s="134"/>
    <row r="270" ht="14.25" customHeight="1" s="134"/>
    <row r="271" ht="14.25" customHeight="1" s="134"/>
    <row r="272" ht="14.25" customHeight="1" s="134"/>
    <row r="273" ht="14.25" customHeight="1" s="134"/>
    <row r="274" ht="14.25" customHeight="1" s="134"/>
    <row r="275" ht="14.25" customHeight="1" s="134"/>
    <row r="276" ht="14.25" customHeight="1" s="134"/>
    <row r="277" ht="14.25" customHeight="1" s="134"/>
    <row r="278" ht="14.25" customHeight="1" s="134"/>
    <row r="279" ht="14.25" customHeight="1" s="134"/>
    <row r="280" ht="14.25" customHeight="1" s="134"/>
    <row r="281" ht="14.25" customHeight="1" s="134"/>
    <row r="282" ht="14.25" customHeight="1" s="134"/>
    <row r="283" ht="14.25" customHeight="1" s="134"/>
    <row r="284" ht="14.25" customHeight="1" s="134"/>
    <row r="285" ht="14.25" customHeight="1" s="134"/>
    <row r="286" ht="14.25" customHeight="1" s="134"/>
    <row r="287" ht="14.25" customHeight="1" s="134"/>
    <row r="288" ht="14.25" customHeight="1" s="134"/>
    <row r="289" ht="14.25" customHeight="1" s="134"/>
    <row r="290" ht="14.25" customHeight="1" s="134"/>
    <row r="291" ht="14.25" customHeight="1" s="134"/>
    <row r="292" ht="14.25" customHeight="1" s="134"/>
    <row r="293" ht="14.25" customHeight="1" s="134"/>
    <row r="294" ht="14.25" customHeight="1" s="134"/>
    <row r="295" ht="14.25" customHeight="1" s="134"/>
    <row r="296" ht="14.25" customHeight="1" s="134"/>
    <row r="297" ht="14.25" customHeight="1" s="134"/>
    <row r="298" ht="14.25" customHeight="1" s="134"/>
    <row r="299" ht="14.25" customHeight="1" s="134"/>
    <row r="300" ht="14.25" customHeight="1" s="134"/>
    <row r="301" ht="14.25" customHeight="1" s="134"/>
    <row r="302" ht="14.25" customHeight="1" s="134"/>
    <row r="303" ht="14.25" customHeight="1" s="134"/>
    <row r="304" ht="14.25" customHeight="1" s="134"/>
    <row r="305" ht="14.25" customHeight="1" s="134"/>
    <row r="306" ht="14.25" customHeight="1" s="134"/>
    <row r="307" ht="14.25" customHeight="1" s="134"/>
    <row r="308" ht="14.25" customHeight="1" s="134"/>
    <row r="309" ht="14.25" customHeight="1" s="134"/>
    <row r="310" ht="14.25" customHeight="1" s="134"/>
    <row r="311" ht="14.25" customHeight="1" s="134"/>
    <row r="312" ht="14.25" customHeight="1" s="134"/>
    <row r="313" ht="14.25" customHeight="1" s="134"/>
    <row r="314" ht="14.25" customHeight="1" s="134"/>
    <row r="315" ht="14.25" customHeight="1" s="134"/>
    <row r="316" ht="14.25" customHeight="1" s="134"/>
    <row r="317" ht="14.25" customHeight="1" s="134"/>
    <row r="318" ht="14.25" customHeight="1" s="134"/>
    <row r="319" ht="14.25" customHeight="1" s="134"/>
    <row r="320" ht="14.25" customHeight="1" s="134"/>
    <row r="321" ht="14.25" customHeight="1" s="134"/>
    <row r="322" ht="14.25" customHeight="1" s="134"/>
    <row r="323" ht="14.25" customHeight="1" s="134"/>
    <row r="324" ht="14.25" customHeight="1" s="134"/>
    <row r="325" ht="14.25" customHeight="1" s="134"/>
    <row r="326" ht="14.25" customHeight="1" s="134"/>
    <row r="327" ht="14.25" customHeight="1" s="134"/>
    <row r="328" ht="14.25" customHeight="1" s="134"/>
    <row r="329" ht="14.25" customHeight="1" s="134"/>
    <row r="330" ht="14.25" customHeight="1" s="134"/>
    <row r="331" ht="14.25" customHeight="1" s="134"/>
    <row r="332" ht="14.25" customHeight="1" s="134"/>
    <row r="333" ht="14.25" customHeight="1" s="134"/>
    <row r="334" ht="14.25" customHeight="1" s="134"/>
    <row r="335" ht="14.25" customHeight="1" s="134"/>
    <row r="336" ht="14.25" customHeight="1" s="134"/>
    <row r="337" ht="14.25" customHeight="1" s="134"/>
    <row r="338" ht="14.25" customHeight="1" s="134"/>
    <row r="339" ht="14.25" customHeight="1" s="134"/>
    <row r="340" ht="14.25" customHeight="1" s="134"/>
    <row r="341" ht="14.25" customHeight="1" s="134"/>
    <row r="342" ht="14.25" customHeight="1" s="134"/>
    <row r="343" ht="14.25" customHeight="1" s="134"/>
    <row r="344" ht="14.25" customHeight="1" s="134"/>
    <row r="345" ht="14.25" customHeight="1" s="134"/>
    <row r="346" ht="14.25" customHeight="1" s="134"/>
    <row r="347" ht="14.25" customHeight="1" s="134"/>
    <row r="348" ht="14.25" customHeight="1" s="134"/>
    <row r="349" ht="14.25" customHeight="1" s="134"/>
    <row r="350" ht="14.25" customHeight="1" s="134"/>
    <row r="351" ht="14.25" customHeight="1" s="134"/>
    <row r="352" ht="14.25" customHeight="1" s="134"/>
    <row r="353" ht="14.25" customHeight="1" s="134"/>
    <row r="354" ht="14.25" customHeight="1" s="134"/>
    <row r="355" ht="14.25" customHeight="1" s="134"/>
    <row r="356" ht="14.25" customHeight="1" s="134"/>
    <row r="357" ht="14.25" customHeight="1" s="134"/>
    <row r="358" ht="14.25" customHeight="1" s="134"/>
    <row r="359" ht="14.25" customHeight="1" s="134"/>
    <row r="360" ht="14.25" customHeight="1" s="134"/>
    <row r="361" ht="14.25" customHeight="1" s="134"/>
    <row r="362" ht="14.25" customHeight="1" s="134"/>
    <row r="363" ht="14.25" customHeight="1" s="134"/>
    <row r="364" ht="14.25" customHeight="1" s="134"/>
    <row r="365" ht="14.25" customHeight="1" s="134"/>
    <row r="366" ht="14.25" customHeight="1" s="134"/>
    <row r="367" ht="14.25" customHeight="1" s="134"/>
    <row r="368" ht="14.25" customHeight="1" s="134"/>
    <row r="369" ht="14.25" customHeight="1" s="134"/>
    <row r="370" ht="14.25" customHeight="1" s="134"/>
    <row r="371" ht="14.25" customHeight="1" s="134"/>
    <row r="372" ht="14.25" customHeight="1" s="134"/>
    <row r="373" ht="14.25" customHeight="1" s="134"/>
    <row r="374" ht="14.25" customHeight="1" s="134"/>
    <row r="375" ht="14.25" customHeight="1" s="134"/>
    <row r="376" ht="14.25" customHeight="1" s="134"/>
    <row r="377" ht="14.25" customHeight="1" s="134"/>
    <row r="378" ht="14.25" customHeight="1" s="134"/>
    <row r="379" ht="14.25" customHeight="1" s="134"/>
    <row r="380" ht="14.25" customHeight="1" s="134"/>
    <row r="381" ht="14.25" customHeight="1" s="134"/>
    <row r="382" ht="14.25" customHeight="1" s="134"/>
    <row r="383" ht="14.25" customHeight="1" s="134"/>
    <row r="384" ht="14.25" customHeight="1" s="134"/>
    <row r="385" ht="14.25" customHeight="1" s="134"/>
    <row r="386" ht="14.25" customHeight="1" s="134"/>
    <row r="387" ht="14.25" customHeight="1" s="134"/>
    <row r="388" ht="14.25" customHeight="1" s="134"/>
    <row r="389" ht="14.25" customHeight="1" s="134"/>
    <row r="390" ht="14.25" customHeight="1" s="134"/>
    <row r="391" ht="14.25" customHeight="1" s="134"/>
    <row r="392" ht="14.25" customHeight="1" s="134"/>
    <row r="393" ht="14.25" customHeight="1" s="134"/>
    <row r="394" ht="14.25" customHeight="1" s="134"/>
    <row r="395" ht="14.25" customHeight="1" s="134"/>
    <row r="396" ht="14.25" customHeight="1" s="134"/>
    <row r="397" ht="14.25" customHeight="1" s="134"/>
    <row r="398" ht="14.25" customHeight="1" s="134"/>
    <row r="399" ht="14.25" customHeight="1" s="134"/>
    <row r="400" ht="14.25" customHeight="1" s="134"/>
    <row r="401" ht="14.25" customHeight="1" s="134"/>
    <row r="402" ht="14.25" customHeight="1" s="134"/>
    <row r="403" ht="14.25" customHeight="1" s="134"/>
    <row r="404" ht="14.25" customHeight="1" s="134"/>
    <row r="405" ht="14.25" customHeight="1" s="134"/>
    <row r="406" ht="14.25" customHeight="1" s="134"/>
    <row r="407" ht="14.25" customHeight="1" s="134"/>
    <row r="408" ht="14.25" customHeight="1" s="134"/>
    <row r="409" ht="14.25" customHeight="1" s="134"/>
    <row r="410" ht="14.25" customHeight="1" s="134"/>
    <row r="411" ht="14.25" customHeight="1" s="134"/>
    <row r="412" ht="14.25" customHeight="1" s="134"/>
    <row r="413" ht="14.25" customHeight="1" s="134"/>
    <row r="414" ht="14.25" customHeight="1" s="134"/>
    <row r="415" ht="14.25" customHeight="1" s="134"/>
    <row r="416" ht="14.25" customHeight="1" s="134"/>
    <row r="417" ht="14.25" customHeight="1" s="134"/>
    <row r="418" ht="14.25" customHeight="1" s="134"/>
    <row r="419" ht="14.25" customHeight="1" s="134"/>
    <row r="420" ht="14.25" customHeight="1" s="134"/>
    <row r="421" ht="14.25" customHeight="1" s="134"/>
    <row r="422" ht="14.25" customHeight="1" s="134"/>
    <row r="423" ht="14.25" customHeight="1" s="134"/>
    <row r="424" ht="14.25" customHeight="1" s="134"/>
    <row r="425" ht="14.25" customHeight="1" s="134"/>
    <row r="426" ht="14.25" customHeight="1" s="134"/>
    <row r="427" ht="14.25" customHeight="1" s="134"/>
    <row r="428" ht="14.25" customHeight="1" s="134"/>
    <row r="429" ht="14.25" customHeight="1" s="134"/>
    <row r="430" ht="14.25" customHeight="1" s="134"/>
    <row r="431" ht="14.25" customHeight="1" s="134"/>
    <row r="432" ht="14.25" customHeight="1" s="134"/>
    <row r="433" ht="14.25" customHeight="1" s="134"/>
    <row r="434" ht="14.25" customHeight="1" s="134"/>
    <row r="435" ht="14.25" customHeight="1" s="134"/>
    <row r="436" ht="14.25" customHeight="1" s="134"/>
    <row r="437" ht="14.25" customHeight="1" s="134"/>
    <row r="438" ht="14.25" customHeight="1" s="134"/>
    <row r="439" ht="14.25" customHeight="1" s="134"/>
    <row r="440" ht="14.25" customHeight="1" s="134"/>
    <row r="441" ht="14.25" customHeight="1" s="134"/>
    <row r="442" ht="14.25" customHeight="1" s="134"/>
    <row r="443" ht="14.25" customHeight="1" s="134"/>
    <row r="444" ht="14.25" customHeight="1" s="134"/>
    <row r="445" ht="14.25" customHeight="1" s="134"/>
    <row r="446" ht="14.25" customHeight="1" s="134"/>
    <row r="447" ht="14.25" customHeight="1" s="134"/>
    <row r="448" ht="14.25" customHeight="1" s="134"/>
    <row r="449" ht="14.25" customHeight="1" s="134"/>
    <row r="450" ht="14.25" customHeight="1" s="134"/>
    <row r="451" ht="14.25" customHeight="1" s="134"/>
    <row r="452" ht="14.25" customHeight="1" s="134"/>
    <row r="453" ht="14.25" customHeight="1" s="134"/>
    <row r="454" ht="14.25" customHeight="1" s="134"/>
    <row r="455" ht="14.25" customHeight="1" s="134"/>
    <row r="456" ht="14.25" customHeight="1" s="134"/>
    <row r="457" ht="14.25" customHeight="1" s="134"/>
    <row r="458" ht="14.25" customHeight="1" s="134"/>
    <row r="459" ht="14.25" customHeight="1" s="134"/>
    <row r="460" ht="14.25" customHeight="1" s="134"/>
    <row r="461" ht="14.25" customHeight="1" s="134"/>
    <row r="462" ht="14.25" customHeight="1" s="134"/>
    <row r="463" ht="14.25" customHeight="1" s="134"/>
    <row r="464" ht="14.25" customHeight="1" s="134"/>
    <row r="465" ht="14.25" customHeight="1" s="134"/>
    <row r="466" ht="14.25" customHeight="1" s="134"/>
    <row r="467" ht="14.25" customHeight="1" s="134"/>
    <row r="468" ht="14.25" customHeight="1" s="134"/>
    <row r="469" ht="14.25" customHeight="1" s="134"/>
    <row r="470" ht="14.25" customHeight="1" s="134"/>
    <row r="471" ht="14.25" customHeight="1" s="134"/>
    <row r="472" ht="14.25" customHeight="1" s="134"/>
    <row r="473" ht="14.25" customHeight="1" s="134"/>
    <row r="474" ht="14.25" customHeight="1" s="134"/>
    <row r="475" ht="14.25" customHeight="1" s="134"/>
    <row r="476" ht="14.25" customHeight="1" s="134"/>
    <row r="477" ht="14.25" customHeight="1" s="134"/>
    <row r="478" ht="14.25" customHeight="1" s="134"/>
    <row r="479" ht="14.25" customHeight="1" s="134"/>
    <row r="480" ht="14.25" customHeight="1" s="134"/>
    <row r="481" ht="14.25" customHeight="1" s="134"/>
    <row r="482" ht="14.25" customHeight="1" s="134"/>
    <row r="483" ht="14.25" customHeight="1" s="134"/>
    <row r="484" ht="14.25" customHeight="1" s="134"/>
    <row r="485" ht="14.25" customHeight="1" s="134"/>
    <row r="486" ht="14.25" customHeight="1" s="134"/>
    <row r="487" ht="14.25" customHeight="1" s="134"/>
    <row r="488" ht="14.25" customHeight="1" s="134"/>
    <row r="489" ht="14.25" customHeight="1" s="134"/>
    <row r="490" ht="14.25" customHeight="1" s="134"/>
    <row r="491" ht="14.25" customHeight="1" s="134"/>
    <row r="492" ht="14.25" customHeight="1" s="134"/>
    <row r="493" ht="14.25" customHeight="1" s="134"/>
    <row r="494" ht="14.25" customHeight="1" s="134"/>
    <row r="495" ht="14.25" customHeight="1" s="134"/>
    <row r="496" ht="14.25" customHeight="1" s="134"/>
    <row r="497" ht="14.25" customHeight="1" s="134"/>
    <row r="498" ht="14.25" customHeight="1" s="134"/>
    <row r="499" ht="14.25" customHeight="1" s="134"/>
    <row r="500" ht="14.25" customHeight="1" s="134"/>
    <row r="501" ht="14.25" customHeight="1" s="134"/>
    <row r="502" ht="14.25" customHeight="1" s="134"/>
    <row r="503" ht="14.25" customHeight="1" s="134"/>
    <row r="504" ht="14.25" customHeight="1" s="134"/>
    <row r="505" ht="14.25" customHeight="1" s="134"/>
    <row r="506" ht="14.25" customHeight="1" s="134"/>
    <row r="507" ht="14.25" customHeight="1" s="134"/>
    <row r="508" ht="14.25" customHeight="1" s="134"/>
    <row r="509" ht="14.25" customHeight="1" s="134"/>
    <row r="510" ht="14.25" customHeight="1" s="134"/>
    <row r="511" ht="14.25" customHeight="1" s="134"/>
    <row r="512" ht="14.25" customHeight="1" s="134"/>
    <row r="513" ht="14.25" customHeight="1" s="134"/>
    <row r="514" ht="14.25" customHeight="1" s="134"/>
    <row r="515" ht="14.25" customHeight="1" s="134"/>
    <row r="516" ht="14.25" customHeight="1" s="134"/>
    <row r="517" ht="14.25" customHeight="1" s="134"/>
    <row r="518" ht="14.25" customHeight="1" s="134"/>
    <row r="519" ht="14.25" customHeight="1" s="134"/>
    <row r="520" ht="14.25" customHeight="1" s="134"/>
    <row r="521" ht="14.25" customHeight="1" s="134"/>
    <row r="522" ht="14.25" customHeight="1" s="134"/>
    <row r="523" ht="14.25" customHeight="1" s="134"/>
    <row r="524" ht="14.25" customHeight="1" s="134"/>
    <row r="525" ht="14.25" customHeight="1" s="134"/>
    <row r="526" ht="14.25" customHeight="1" s="134"/>
    <row r="527" ht="14.25" customHeight="1" s="134"/>
    <row r="528" ht="14.25" customHeight="1" s="134"/>
    <row r="529" ht="14.25" customHeight="1" s="134"/>
    <row r="530" ht="14.25" customHeight="1" s="134"/>
    <row r="531" ht="14.25" customHeight="1" s="134"/>
    <row r="532" ht="14.25" customHeight="1" s="134"/>
    <row r="533" ht="14.25" customHeight="1" s="134"/>
    <row r="534" ht="14.25" customHeight="1" s="134"/>
    <row r="535" ht="14.25" customHeight="1" s="134"/>
    <row r="536" ht="14.25" customHeight="1" s="134"/>
    <row r="537" ht="14.25" customHeight="1" s="134"/>
    <row r="538" ht="14.25" customHeight="1" s="134"/>
    <row r="539" ht="14.25" customHeight="1" s="134"/>
    <row r="540" ht="14.25" customHeight="1" s="134"/>
    <row r="541" ht="14.25" customHeight="1" s="134"/>
    <row r="542" ht="14.25" customHeight="1" s="134"/>
    <row r="543" ht="14.25" customHeight="1" s="134"/>
    <row r="544" ht="14.25" customHeight="1" s="134"/>
    <row r="545" ht="14.25" customHeight="1" s="134"/>
    <row r="546" ht="14.25" customHeight="1" s="134"/>
    <row r="547" ht="14.25" customHeight="1" s="134"/>
    <row r="548" ht="14.25" customHeight="1" s="134"/>
    <row r="549" ht="14.25" customHeight="1" s="134"/>
    <row r="550" ht="14.25" customHeight="1" s="134"/>
    <row r="551" ht="14.25" customHeight="1" s="134"/>
    <row r="552" ht="14.25" customHeight="1" s="134"/>
    <row r="553" ht="14.25" customHeight="1" s="134"/>
    <row r="554" ht="14.25" customHeight="1" s="134"/>
    <row r="555" ht="14.25" customHeight="1" s="134"/>
    <row r="556" ht="14.25" customHeight="1" s="134"/>
    <row r="557" ht="14.25" customHeight="1" s="134"/>
    <row r="558" ht="14.25" customHeight="1" s="134"/>
    <row r="559" ht="14.25" customHeight="1" s="134"/>
    <row r="560" ht="14.25" customHeight="1" s="134"/>
    <row r="561" ht="14.25" customHeight="1" s="134"/>
    <row r="562" ht="14.25" customHeight="1" s="134"/>
    <row r="563" ht="14.25" customHeight="1" s="134"/>
    <row r="564" ht="14.25" customHeight="1" s="134"/>
    <row r="565" ht="14.25" customHeight="1" s="134"/>
    <row r="566" ht="14.25" customHeight="1" s="134"/>
    <row r="567" ht="14.25" customHeight="1" s="134"/>
    <row r="568" ht="14.25" customHeight="1" s="134"/>
    <row r="569" ht="14.25" customHeight="1" s="134"/>
    <row r="570" ht="14.25" customHeight="1" s="134"/>
    <row r="571" ht="14.25" customHeight="1" s="134"/>
    <row r="572" ht="14.25" customHeight="1" s="134"/>
    <row r="573" ht="14.25" customHeight="1" s="134"/>
    <row r="574" ht="14.25" customHeight="1" s="134"/>
    <row r="575" ht="14.25" customHeight="1" s="134"/>
    <row r="576" ht="14.25" customHeight="1" s="134"/>
    <row r="577" ht="14.25" customHeight="1" s="134"/>
    <row r="578" ht="14.25" customHeight="1" s="134"/>
    <row r="579" ht="14.25" customHeight="1" s="134"/>
    <row r="580" ht="14.25" customHeight="1" s="134"/>
    <row r="581" ht="14.25" customHeight="1" s="134"/>
    <row r="582" ht="14.25" customHeight="1" s="134"/>
    <row r="583" ht="14.25" customHeight="1" s="134"/>
    <row r="584" ht="14.25" customHeight="1" s="134"/>
    <row r="585" ht="14.25" customHeight="1" s="134"/>
    <row r="586" ht="14.25" customHeight="1" s="134"/>
    <row r="587" ht="14.25" customHeight="1" s="134"/>
    <row r="588" ht="14.25" customHeight="1" s="134"/>
    <row r="589" ht="14.25" customHeight="1" s="134"/>
    <row r="590" ht="14.25" customHeight="1" s="134"/>
    <row r="591" ht="14.25" customHeight="1" s="134"/>
    <row r="592" ht="14.25" customHeight="1" s="134"/>
    <row r="593" ht="14.25" customHeight="1" s="134"/>
    <row r="594" ht="14.25" customHeight="1" s="134"/>
    <row r="595" ht="14.25" customHeight="1" s="134"/>
    <row r="596" ht="14.25" customHeight="1" s="134"/>
    <row r="597" ht="14.25" customHeight="1" s="134"/>
    <row r="598" ht="14.25" customHeight="1" s="134"/>
    <row r="599" ht="14.25" customHeight="1" s="134"/>
    <row r="600" ht="14.25" customHeight="1" s="134"/>
    <row r="601" ht="14.25" customHeight="1" s="134"/>
    <row r="602" ht="14.25" customHeight="1" s="134"/>
    <row r="603" ht="14.25" customHeight="1" s="134"/>
    <row r="604" ht="14.25" customHeight="1" s="134"/>
    <row r="605" ht="14.25" customHeight="1" s="134"/>
    <row r="606" ht="14.25" customHeight="1" s="134"/>
    <row r="607" ht="14.25" customHeight="1" s="134"/>
    <row r="608" ht="14.25" customHeight="1" s="134"/>
    <row r="609" ht="14.25" customHeight="1" s="134"/>
    <row r="610" ht="14.25" customHeight="1" s="134"/>
    <row r="611" ht="14.25" customHeight="1" s="134"/>
    <row r="612" ht="14.25" customHeight="1" s="134"/>
    <row r="613" ht="14.25" customHeight="1" s="134"/>
    <row r="614" ht="14.25" customHeight="1" s="134"/>
    <row r="615" ht="14.25" customHeight="1" s="134"/>
    <row r="616" ht="14.25" customHeight="1" s="134"/>
    <row r="617" ht="14.25" customHeight="1" s="134"/>
    <row r="618" ht="14.25" customHeight="1" s="134"/>
    <row r="619" ht="14.25" customHeight="1" s="134"/>
    <row r="620" ht="14.25" customHeight="1" s="134"/>
    <row r="621" ht="14.25" customHeight="1" s="134"/>
    <row r="622" ht="14.25" customHeight="1" s="134"/>
    <row r="623" ht="14.25" customHeight="1" s="134"/>
    <row r="624" ht="14.25" customHeight="1" s="134"/>
    <row r="625" ht="14.25" customHeight="1" s="134"/>
    <row r="626" ht="14.25" customHeight="1" s="134"/>
    <row r="627" ht="14.25" customHeight="1" s="134"/>
    <row r="628" ht="14.25" customHeight="1" s="134"/>
    <row r="629" ht="14.25" customHeight="1" s="134"/>
    <row r="630" ht="14.25" customHeight="1" s="134"/>
    <row r="631" ht="14.25" customHeight="1" s="134"/>
    <row r="632" ht="14.25" customHeight="1" s="134"/>
    <row r="633" ht="14.25" customHeight="1" s="134"/>
    <row r="634" ht="14.25" customHeight="1" s="134"/>
    <row r="635" ht="14.25" customHeight="1" s="134"/>
    <row r="636" ht="14.25" customHeight="1" s="134"/>
    <row r="637" ht="14.25" customHeight="1" s="134"/>
    <row r="638" ht="14.25" customHeight="1" s="134"/>
    <row r="639" ht="14.25" customHeight="1" s="134"/>
    <row r="640" ht="14.25" customHeight="1" s="134"/>
    <row r="641" ht="14.25" customHeight="1" s="134"/>
    <row r="642" ht="14.25" customHeight="1" s="134"/>
    <row r="643" ht="14.25" customHeight="1" s="134"/>
    <row r="644" ht="14.25" customHeight="1" s="134"/>
    <row r="645" ht="14.25" customHeight="1" s="134"/>
    <row r="646" ht="14.25" customHeight="1" s="134"/>
    <row r="647" ht="14.25" customHeight="1" s="134"/>
    <row r="648" ht="14.25" customHeight="1" s="134"/>
    <row r="649" ht="14.25" customHeight="1" s="134"/>
    <row r="650" ht="14.25" customHeight="1" s="134"/>
    <row r="651" ht="14.25" customHeight="1" s="134"/>
    <row r="652" ht="14.25" customHeight="1" s="134"/>
    <row r="653" ht="14.25" customHeight="1" s="134"/>
    <row r="654" ht="14.25" customHeight="1" s="134"/>
    <row r="655" ht="14.25" customHeight="1" s="134"/>
    <row r="656" ht="14.25" customHeight="1" s="134"/>
    <row r="657" ht="14.25" customHeight="1" s="134"/>
    <row r="658" ht="14.25" customHeight="1" s="134"/>
    <row r="659" ht="14.25" customHeight="1" s="134"/>
    <row r="660" ht="14.25" customHeight="1" s="134"/>
    <row r="661" ht="14.25" customHeight="1" s="134"/>
    <row r="662" ht="14.25" customHeight="1" s="134"/>
    <row r="663" ht="14.25" customHeight="1" s="134"/>
    <row r="664" ht="14.25" customHeight="1" s="134"/>
    <row r="665" ht="14.25" customHeight="1" s="134"/>
    <row r="666" ht="14.25" customHeight="1" s="134"/>
    <row r="667" ht="14.25" customHeight="1" s="134"/>
    <row r="668" ht="14.25" customHeight="1" s="134"/>
    <row r="669" ht="14.25" customHeight="1" s="134"/>
    <row r="670" ht="14.25" customHeight="1" s="134"/>
    <row r="671" ht="14.25" customHeight="1" s="134"/>
    <row r="672" ht="14.25" customHeight="1" s="134"/>
    <row r="673" ht="14.25" customHeight="1" s="134"/>
    <row r="674" ht="14.25" customHeight="1" s="134"/>
    <row r="675" ht="14.25" customHeight="1" s="134"/>
    <row r="676" ht="14.25" customHeight="1" s="134"/>
    <row r="677" ht="14.25" customHeight="1" s="134"/>
    <row r="678" ht="14.25" customHeight="1" s="134"/>
    <row r="679" ht="14.25" customHeight="1" s="134"/>
    <row r="680" ht="14.25" customHeight="1" s="134"/>
    <row r="681" ht="14.25" customHeight="1" s="134"/>
    <row r="682" ht="14.25" customHeight="1" s="134"/>
    <row r="683" ht="14.25" customHeight="1" s="134"/>
    <row r="684" ht="14.25" customHeight="1" s="134"/>
    <row r="685" ht="14.25" customHeight="1" s="134"/>
    <row r="686" ht="14.25" customHeight="1" s="134"/>
    <row r="687" ht="14.25" customHeight="1" s="134"/>
    <row r="688" ht="14.25" customHeight="1" s="134"/>
    <row r="689" ht="14.25" customHeight="1" s="134"/>
    <row r="690" ht="14.25" customHeight="1" s="134"/>
    <row r="691" ht="14.25" customHeight="1" s="134"/>
    <row r="692" ht="14.25" customHeight="1" s="134"/>
    <row r="693" ht="14.25" customHeight="1" s="134"/>
    <row r="694" ht="14.25" customHeight="1" s="134"/>
    <row r="695" ht="14.25" customHeight="1" s="134"/>
    <row r="696" ht="14.25" customHeight="1" s="134"/>
    <row r="697" ht="14.25" customHeight="1" s="134"/>
    <row r="698" ht="14.25" customHeight="1" s="134"/>
    <row r="699" ht="14.25" customHeight="1" s="134"/>
    <row r="700" ht="14.25" customHeight="1" s="134"/>
    <row r="701" ht="14.25" customHeight="1" s="134"/>
    <row r="702" ht="14.25" customHeight="1" s="134"/>
    <row r="703" ht="14.25" customHeight="1" s="134"/>
    <row r="704" ht="14.25" customHeight="1" s="134"/>
    <row r="705" ht="14.25" customHeight="1" s="134"/>
    <row r="706" ht="14.25" customHeight="1" s="134"/>
    <row r="707" ht="14.25" customHeight="1" s="134"/>
    <row r="708" ht="14.25" customHeight="1" s="134"/>
    <row r="709" ht="14.25" customHeight="1" s="134"/>
    <row r="710" ht="14.25" customHeight="1" s="134"/>
    <row r="711" ht="14.25" customHeight="1" s="134"/>
    <row r="712" ht="14.25" customHeight="1" s="134"/>
    <row r="713" ht="14.25" customHeight="1" s="134"/>
    <row r="714" ht="14.25" customHeight="1" s="134"/>
    <row r="715" ht="14.25" customHeight="1" s="134"/>
    <row r="716" ht="14.25" customHeight="1" s="134"/>
    <row r="717" ht="14.25" customHeight="1" s="134"/>
    <row r="718" ht="14.25" customHeight="1" s="134"/>
    <row r="719" ht="14.25" customHeight="1" s="134"/>
    <row r="720" ht="14.25" customHeight="1" s="134"/>
    <row r="721" ht="14.25" customHeight="1" s="134"/>
    <row r="722" ht="14.25" customHeight="1" s="134"/>
    <row r="723" ht="14.25" customHeight="1" s="134"/>
    <row r="724" ht="14.25" customHeight="1" s="134"/>
    <row r="725" ht="14.25" customHeight="1" s="134"/>
    <row r="726" ht="14.25" customHeight="1" s="134"/>
    <row r="727" ht="14.25" customHeight="1" s="134"/>
    <row r="728" ht="14.25" customHeight="1" s="134"/>
    <row r="729" ht="14.25" customHeight="1" s="134"/>
    <row r="730" ht="14.25" customHeight="1" s="134"/>
    <row r="731" ht="14.25" customHeight="1" s="134"/>
    <row r="732" ht="14.25" customHeight="1" s="134"/>
    <row r="733" ht="14.25" customHeight="1" s="134"/>
    <row r="734" ht="14.25" customHeight="1" s="134"/>
    <row r="735" ht="14.25" customHeight="1" s="134"/>
    <row r="736" ht="14.25" customHeight="1" s="134"/>
    <row r="737" ht="14.25" customHeight="1" s="134"/>
    <row r="738" ht="14.25" customHeight="1" s="134"/>
    <row r="739" ht="14.25" customHeight="1" s="134"/>
    <row r="740" ht="14.25" customHeight="1" s="134"/>
    <row r="741" ht="14.25" customHeight="1" s="134"/>
    <row r="742" ht="14.25" customHeight="1" s="134"/>
    <row r="743" ht="14.25" customHeight="1" s="134"/>
    <row r="744" ht="14.25" customHeight="1" s="134"/>
    <row r="745" ht="14.25" customHeight="1" s="134"/>
    <row r="746" ht="14.25" customHeight="1" s="134"/>
    <row r="747" ht="14.25" customHeight="1" s="134"/>
    <row r="748" ht="14.25" customHeight="1" s="134"/>
    <row r="749" ht="14.25" customHeight="1" s="134"/>
    <row r="750" ht="14.25" customHeight="1" s="134"/>
    <row r="751" ht="14.25" customHeight="1" s="134"/>
    <row r="752" ht="14.25" customHeight="1" s="134"/>
    <row r="753" ht="14.25" customHeight="1" s="134"/>
    <row r="754" ht="14.25" customHeight="1" s="134"/>
    <row r="755" ht="14.25" customHeight="1" s="134"/>
    <row r="756" ht="14.25" customHeight="1" s="134"/>
    <row r="757" ht="14.25" customHeight="1" s="134"/>
    <row r="758" ht="14.25" customHeight="1" s="134"/>
    <row r="759" ht="14.25" customHeight="1" s="134"/>
    <row r="760" ht="14.25" customHeight="1" s="134"/>
    <row r="761" ht="14.25" customHeight="1" s="134"/>
    <row r="762" ht="14.25" customHeight="1" s="134"/>
    <row r="763" ht="14.25" customHeight="1" s="134"/>
    <row r="764" ht="14.25" customHeight="1" s="134"/>
    <row r="765" ht="14.25" customHeight="1" s="134"/>
    <row r="766" ht="14.25" customHeight="1" s="134"/>
    <row r="767" ht="14.25" customHeight="1" s="134"/>
    <row r="768" ht="14.25" customHeight="1" s="134"/>
    <row r="769" ht="14.25" customHeight="1" s="134"/>
    <row r="770" ht="14.25" customHeight="1" s="134"/>
    <row r="771" ht="14.25" customHeight="1" s="134"/>
    <row r="772" ht="14.25" customHeight="1" s="134"/>
    <row r="773" ht="14.25" customHeight="1" s="134"/>
    <row r="774" ht="14.25" customHeight="1" s="134"/>
    <row r="775" ht="14.25" customHeight="1" s="134"/>
    <row r="776" ht="14.25" customHeight="1" s="134"/>
    <row r="777" ht="14.25" customHeight="1" s="134"/>
    <row r="778" ht="14.25" customHeight="1" s="134"/>
    <row r="779" ht="14.25" customHeight="1" s="134"/>
    <row r="780" ht="14.25" customHeight="1" s="134"/>
    <row r="781" ht="14.25" customHeight="1" s="134"/>
    <row r="782" ht="14.25" customHeight="1" s="134"/>
    <row r="783" ht="14.25" customHeight="1" s="134"/>
    <row r="784" ht="14.25" customHeight="1" s="134"/>
    <row r="785" ht="14.25" customHeight="1" s="134"/>
    <row r="786" ht="14.25" customHeight="1" s="134"/>
    <row r="787" ht="14.25" customHeight="1" s="134"/>
    <row r="788" ht="14.25" customHeight="1" s="134"/>
    <row r="789" ht="14.25" customHeight="1" s="134"/>
    <row r="790" ht="14.25" customHeight="1" s="134"/>
    <row r="791" ht="14.25" customHeight="1" s="134"/>
    <row r="792" ht="14.25" customHeight="1" s="134"/>
    <row r="793" ht="14.25" customHeight="1" s="134"/>
    <row r="794" ht="14.25" customHeight="1" s="134"/>
    <row r="795" ht="14.25" customHeight="1" s="134"/>
    <row r="796" ht="14.25" customHeight="1" s="134"/>
    <row r="797" ht="14.25" customHeight="1" s="134"/>
    <row r="798" ht="14.25" customHeight="1" s="134"/>
    <row r="799" ht="14.25" customHeight="1" s="134"/>
    <row r="800" ht="14.25" customHeight="1" s="134"/>
    <row r="801" ht="14.25" customHeight="1" s="134"/>
    <row r="802" ht="14.25" customHeight="1" s="134"/>
    <row r="803" ht="14.25" customHeight="1" s="134"/>
    <row r="804" ht="14.25" customHeight="1" s="134"/>
    <row r="805" ht="14.25" customHeight="1" s="134"/>
    <row r="806" ht="14.25" customHeight="1" s="134"/>
    <row r="807" ht="14.25" customHeight="1" s="134"/>
    <row r="808" ht="14.25" customHeight="1" s="134"/>
    <row r="809" ht="14.25" customHeight="1" s="134"/>
    <row r="810" ht="14.25" customHeight="1" s="134"/>
    <row r="811" ht="14.25" customHeight="1" s="134"/>
    <row r="812" ht="14.25" customHeight="1" s="134"/>
    <row r="813" ht="14.25" customHeight="1" s="134"/>
    <row r="814" ht="14.25" customHeight="1" s="134"/>
    <row r="815" ht="14.25" customHeight="1" s="134"/>
    <row r="816" ht="14.25" customHeight="1" s="134"/>
    <row r="817" ht="14.25" customHeight="1" s="134"/>
    <row r="818" ht="14.25" customHeight="1" s="134"/>
    <row r="819" ht="14.25" customHeight="1" s="134"/>
    <row r="820" ht="14.25" customHeight="1" s="134"/>
    <row r="821" ht="14.25" customHeight="1" s="134"/>
    <row r="822" ht="14.25" customHeight="1" s="134"/>
    <row r="823" ht="14.25" customHeight="1" s="134"/>
    <row r="824" ht="14.25" customHeight="1" s="134"/>
    <row r="825" ht="14.25" customHeight="1" s="134"/>
    <row r="826" ht="14.25" customHeight="1" s="134"/>
    <row r="827" ht="14.25" customHeight="1" s="134"/>
    <row r="828" ht="14.25" customHeight="1" s="134"/>
    <row r="829" ht="14.25" customHeight="1" s="134"/>
    <row r="830" ht="14.25" customHeight="1" s="134"/>
    <row r="831" ht="14.25" customHeight="1" s="134"/>
    <row r="832" ht="14.25" customHeight="1" s="134"/>
    <row r="833" ht="14.25" customHeight="1" s="134"/>
    <row r="834" ht="14.25" customHeight="1" s="134"/>
    <row r="835" ht="14.25" customHeight="1" s="134"/>
    <row r="836" ht="14.25" customHeight="1" s="134"/>
    <row r="837" ht="14.25" customHeight="1" s="134"/>
    <row r="838" ht="14.25" customHeight="1" s="134"/>
    <row r="839" ht="14.25" customHeight="1" s="134"/>
    <row r="840" ht="14.25" customHeight="1" s="134"/>
    <row r="841" ht="14.25" customHeight="1" s="134"/>
    <row r="842" ht="14.25" customHeight="1" s="134"/>
    <row r="843" ht="14.25" customHeight="1" s="134"/>
    <row r="844" ht="14.25" customHeight="1" s="134"/>
    <row r="845" ht="14.25" customHeight="1" s="134"/>
    <row r="846" ht="14.25" customHeight="1" s="134"/>
    <row r="847" ht="14.25" customHeight="1" s="134"/>
    <row r="848" ht="14.25" customHeight="1" s="134"/>
    <row r="849" ht="14.25" customHeight="1" s="134"/>
    <row r="850" ht="14.25" customHeight="1" s="134"/>
    <row r="851" ht="14.25" customHeight="1" s="134"/>
    <row r="852" ht="14.25" customHeight="1" s="134"/>
    <row r="853" ht="14.25" customHeight="1" s="134"/>
    <row r="854" ht="14.25" customHeight="1" s="134"/>
    <row r="855" ht="14.25" customHeight="1" s="134"/>
    <row r="856" ht="14.25" customHeight="1" s="134"/>
    <row r="857" ht="14.25" customHeight="1" s="134"/>
    <row r="858" ht="14.25" customHeight="1" s="134"/>
    <row r="859" ht="14.25" customHeight="1" s="134"/>
    <row r="860" ht="14.25" customHeight="1" s="134"/>
    <row r="861" ht="14.25" customHeight="1" s="134"/>
    <row r="862" ht="14.25" customHeight="1" s="134"/>
    <row r="863" ht="14.25" customHeight="1" s="134"/>
    <row r="864" ht="14.25" customHeight="1" s="134"/>
    <row r="865" ht="14.25" customHeight="1" s="134"/>
    <row r="866" ht="14.25" customHeight="1" s="134"/>
    <row r="867" ht="14.25" customHeight="1" s="134"/>
    <row r="868" ht="14.25" customHeight="1" s="134"/>
    <row r="869" ht="14.25" customHeight="1" s="134"/>
    <row r="870" ht="14.25" customHeight="1" s="134"/>
    <row r="871" ht="14.25" customHeight="1" s="134"/>
    <row r="872" ht="14.25" customHeight="1" s="134"/>
    <row r="873" ht="14.25" customHeight="1" s="134"/>
    <row r="874" ht="14.25" customHeight="1" s="134"/>
    <row r="875" ht="14.25" customHeight="1" s="134"/>
    <row r="876" ht="14.25" customHeight="1" s="134"/>
    <row r="877" ht="14.25" customHeight="1" s="134"/>
    <row r="878" ht="14.25" customHeight="1" s="134"/>
    <row r="879" ht="14.25" customHeight="1" s="134"/>
    <row r="880" ht="14.25" customHeight="1" s="134"/>
    <row r="881" ht="14.25" customHeight="1" s="134"/>
    <row r="882" ht="14.25" customHeight="1" s="134"/>
    <row r="883" ht="14.25" customHeight="1" s="134"/>
    <row r="884" ht="14.25" customHeight="1" s="134"/>
    <row r="885" ht="14.25" customHeight="1" s="134"/>
    <row r="886" ht="14.25" customHeight="1" s="134"/>
    <row r="887" ht="14.25" customHeight="1" s="134"/>
    <row r="888" ht="14.25" customHeight="1" s="134"/>
    <row r="889" ht="14.25" customHeight="1" s="134"/>
    <row r="890" ht="14.25" customHeight="1" s="134"/>
    <row r="891" ht="14.25" customHeight="1" s="134"/>
    <row r="892" ht="14.25" customHeight="1" s="134"/>
    <row r="893" ht="14.25" customHeight="1" s="134"/>
    <row r="894" ht="14.25" customHeight="1" s="134"/>
    <row r="895" ht="14.25" customHeight="1" s="134"/>
    <row r="896" ht="14.25" customHeight="1" s="134"/>
    <row r="897" ht="14.25" customHeight="1" s="134"/>
    <row r="898" ht="14.25" customHeight="1" s="134"/>
    <row r="899" ht="14.25" customHeight="1" s="134"/>
    <row r="900" ht="14.25" customHeight="1" s="134"/>
    <row r="901" ht="14.25" customHeight="1" s="134"/>
    <row r="902" ht="14.25" customHeight="1" s="134"/>
    <row r="903" ht="14.25" customHeight="1" s="134"/>
    <row r="904" ht="14.25" customHeight="1" s="134"/>
    <row r="905" ht="14.25" customHeight="1" s="134"/>
    <row r="906" ht="14.25" customHeight="1" s="134"/>
    <row r="907" ht="14.25" customHeight="1" s="134"/>
    <row r="908" ht="14.25" customHeight="1" s="134"/>
    <row r="909" ht="14.25" customHeight="1" s="134"/>
    <row r="910" ht="14.25" customHeight="1" s="134"/>
    <row r="911" ht="14.25" customHeight="1" s="134"/>
    <row r="912" ht="14.25" customHeight="1" s="134"/>
    <row r="913" ht="14.25" customHeight="1" s="134"/>
    <row r="914" ht="14.25" customHeight="1" s="134"/>
    <row r="915" ht="14.25" customHeight="1" s="134"/>
    <row r="916" ht="14.25" customHeight="1" s="134"/>
    <row r="917" ht="14.25" customHeight="1" s="134"/>
    <row r="918" ht="14.25" customHeight="1" s="134"/>
    <row r="919" ht="14.25" customHeight="1" s="134"/>
    <row r="920" ht="14.25" customHeight="1" s="134"/>
    <row r="921" ht="14.25" customHeight="1" s="134"/>
    <row r="922" ht="14.25" customHeight="1" s="134"/>
    <row r="923" ht="14.25" customHeight="1" s="134"/>
    <row r="924" ht="14.25" customHeight="1" s="134"/>
    <row r="925" ht="14.25" customHeight="1" s="134"/>
    <row r="926" ht="14.25" customHeight="1" s="134"/>
    <row r="927" ht="14.25" customHeight="1" s="134"/>
    <row r="928" ht="14.25" customHeight="1" s="134"/>
    <row r="929" ht="14.25" customHeight="1" s="134"/>
    <row r="930" ht="14.25" customHeight="1" s="134"/>
    <row r="931" ht="14.25" customHeight="1" s="134"/>
    <row r="932" ht="14.25" customHeight="1" s="134"/>
    <row r="933" ht="14.25" customHeight="1" s="134"/>
    <row r="934" ht="14.25" customHeight="1" s="134"/>
    <row r="935" ht="14.25" customHeight="1" s="134"/>
    <row r="936" ht="14.25" customHeight="1" s="134"/>
    <row r="937" ht="14.25" customHeight="1" s="134"/>
    <row r="938" ht="14.25" customHeight="1" s="134"/>
    <row r="939" ht="14.25" customHeight="1" s="134"/>
    <row r="940" ht="14.25" customHeight="1" s="134"/>
    <row r="941" ht="14.25" customHeight="1" s="134"/>
    <row r="942" ht="14.25" customHeight="1" s="134"/>
    <row r="943" ht="14.25" customHeight="1" s="134"/>
    <row r="944" ht="14.25" customHeight="1" s="134"/>
    <row r="945" ht="14.25" customHeight="1" s="134"/>
    <row r="946" ht="14.25" customHeight="1" s="134"/>
    <row r="947" ht="14.25" customHeight="1" s="134"/>
    <row r="948" ht="14.25" customHeight="1" s="134"/>
    <row r="949" ht="14.25" customHeight="1" s="134"/>
    <row r="950" ht="14.25" customHeight="1" s="134"/>
    <row r="951" ht="14.25" customHeight="1" s="134"/>
    <row r="952" ht="14.25" customHeight="1" s="134"/>
    <row r="953" ht="14.25" customHeight="1" s="134"/>
    <row r="954" ht="14.25" customHeight="1" s="134"/>
    <row r="955" ht="14.25" customHeight="1" s="134"/>
    <row r="956" ht="14.25" customHeight="1" s="134"/>
    <row r="957" ht="14.25" customHeight="1" s="134"/>
    <row r="958" ht="14.25" customHeight="1" s="134"/>
    <row r="959" ht="14.25" customHeight="1" s="134"/>
    <row r="960" ht="14.25" customHeight="1" s="134"/>
    <row r="961" ht="14.25" customHeight="1" s="134"/>
    <row r="962" ht="14.25" customHeight="1" s="134"/>
    <row r="963" ht="14.25" customHeight="1" s="134"/>
    <row r="964" ht="14.25" customHeight="1" s="134"/>
    <row r="965" ht="14.25" customHeight="1" s="134"/>
    <row r="966" ht="14.25" customHeight="1" s="134"/>
    <row r="967" ht="14.25" customHeight="1" s="134"/>
    <row r="968" ht="14.25" customHeight="1" s="134"/>
    <row r="969" ht="14.25" customHeight="1" s="134"/>
    <row r="970" ht="14.25" customHeight="1" s="134"/>
    <row r="971" ht="14.25" customHeight="1" s="134"/>
    <row r="972" ht="14.25" customHeight="1" s="134"/>
    <row r="973" ht="14.25" customHeight="1" s="134"/>
    <row r="974" ht="14.25" customHeight="1" s="134"/>
    <row r="975" ht="14.25" customHeight="1" s="134"/>
    <row r="976" ht="14.25" customHeight="1" s="134"/>
    <row r="977" ht="14.25" customHeight="1" s="134"/>
    <row r="978" ht="14.25" customHeight="1" s="134"/>
    <row r="979" ht="14.25" customHeight="1" s="134"/>
    <row r="980" ht="14.25" customHeight="1" s="134"/>
    <row r="981" ht="14.25" customHeight="1" s="134"/>
    <row r="982" ht="14.25" customHeight="1" s="134"/>
    <row r="983" ht="14.25" customHeight="1" s="134"/>
    <row r="984" ht="14.25" customHeight="1" s="134"/>
    <row r="985" ht="14.25" customHeight="1" s="134"/>
    <row r="986" ht="14.25" customHeight="1" s="134"/>
    <row r="987" ht="14.25" customHeight="1" s="134"/>
    <row r="988" ht="14.25" customHeight="1" s="134"/>
    <row r="989" ht="14.25" customHeight="1" s="134"/>
    <row r="990" ht="14.25" customHeight="1" s="134"/>
    <row r="991" ht="14.25" customHeight="1" s="134"/>
    <row r="992" ht="14.25" customHeight="1" s="134"/>
    <row r="993" ht="14.25" customHeight="1" s="134"/>
    <row r="994" ht="14.25" customHeight="1" s="134"/>
    <row r="995" ht="14.25" customHeight="1" s="134"/>
    <row r="996" ht="14.25" customHeight="1" s="134"/>
    <row r="997" ht="14.25" customHeight="1" s="134"/>
    <row r="998" ht="14.25" customHeight="1" s="134"/>
    <row r="999" ht="14.25" customHeight="1" s="134"/>
    <row r="1000" ht="14.25" customHeight="1" s="134"/>
    <row r="1001" ht="14.25" customHeight="1" s="134"/>
    <row r="1002" ht="14.25" customHeight="1" s="134"/>
    <row r="1003" ht="14.25" customHeight="1" s="134"/>
  </sheetData>
  <conditionalFormatting sqref="D55:S55">
    <cfRule type="expression" priority="2" dxfId="3">
      <formula>D55&lt;0</formula>
    </cfRule>
    <cfRule type="expression" priority="3" dxfId="2">
      <formula>AND(D55&gt;=0,D55&lt;D57)</formula>
    </cfRule>
    <cfRule type="expression" priority="4" dxfId="1">
      <formula>D55&gt;=D57</formula>
    </cfRule>
  </conditionalFormatting>
  <conditionalFormatting sqref="D62:S62">
    <cfRule type="expression" priority="1" dxfId="0">
      <formula>LEFT(D62,4)="Pedi"</formula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B3:L6"/>
  <sheetViews>
    <sheetView showGridLines="0" workbookViewId="0">
      <selection activeCell="A1" sqref="A1"/>
    </sheetView>
  </sheetViews>
  <sheetFormatPr baseColWidth="10" defaultRowHeight="14.4"/>
  <cols>
    <col width="14.33203125" bestFit="1" customWidth="1" style="134" min="3" max="5"/>
    <col width="14.109375" bestFit="1" customWidth="1" style="134" min="6" max="6"/>
    <col width="13.88671875" bestFit="1" customWidth="1" style="134" min="7" max="9"/>
    <col width="14.44140625" bestFit="1" customWidth="1" style="134" min="10" max="10"/>
    <col width="15" bestFit="1" customWidth="1" style="134" min="11" max="12"/>
  </cols>
  <sheetData>
    <row r="3">
      <c r="B3" s="60">
        <f>+'FLUJO SEMANAL'!A4</f>
        <v/>
      </c>
      <c r="C3" s="60">
        <f>+'FLUJO SEMANAL'!D5</f>
        <v/>
      </c>
      <c r="D3" s="60">
        <f>+'FLUJO SEMANAL'!E5</f>
        <v/>
      </c>
      <c r="E3" s="60">
        <f>+'FLUJO SEMANAL'!F5</f>
        <v/>
      </c>
      <c r="F3" s="60">
        <f>+'FLUJO SEMANAL'!G5</f>
        <v/>
      </c>
      <c r="G3" s="60">
        <f>+'FLUJO SEMANAL'!H5</f>
        <v/>
      </c>
      <c r="H3" s="60">
        <f>+'FLUJO SEMANAL'!I5</f>
        <v/>
      </c>
      <c r="I3" s="60">
        <f>+'FLUJO SEMANAL'!J5</f>
        <v/>
      </c>
      <c r="J3" s="60">
        <f>+'FLUJO SEMANAL'!K5</f>
        <v/>
      </c>
      <c r="K3" s="60">
        <f>+'FLUJO SEMANAL'!L5</f>
        <v/>
      </c>
      <c r="L3" s="60">
        <f>+'FLUJO SEMANAL'!M5</f>
        <v/>
      </c>
    </row>
    <row r="4">
      <c r="B4" s="60">
        <f>+'FLUJO SEMANAL'!A11</f>
        <v/>
      </c>
      <c r="C4" s="62">
        <f>+'FLUJO SEMANAL'!D6</f>
        <v/>
      </c>
      <c r="D4" s="62">
        <f>+'FLUJO SEMANAL'!E6</f>
        <v/>
      </c>
      <c r="E4" s="62">
        <f>+'FLUJO SEMANAL'!F6</f>
        <v/>
      </c>
      <c r="F4" s="62">
        <f>+'FLUJO SEMANAL'!G6</f>
        <v/>
      </c>
      <c r="G4" s="62">
        <f>+'FLUJO SEMANAL'!H6</f>
        <v/>
      </c>
      <c r="H4" s="62">
        <f>+'FLUJO SEMANAL'!I6</f>
        <v/>
      </c>
      <c r="I4" s="62">
        <f>+'FLUJO SEMANAL'!J6</f>
        <v/>
      </c>
      <c r="J4" s="62">
        <f>+'FLUJO SEMANAL'!K6</f>
        <v/>
      </c>
      <c r="K4" s="62">
        <f>+'FLUJO SEMANAL'!L6</f>
        <v/>
      </c>
      <c r="L4" s="62">
        <f>+'FLUJO SEMANAL'!M6</f>
        <v/>
      </c>
    </row>
    <row r="5">
      <c r="B5" s="60">
        <f>+'FLUJO SEMANAL'!A53</f>
        <v/>
      </c>
      <c r="C5" s="62">
        <f>+'FLUJO SEMANAL'!D53</f>
        <v/>
      </c>
      <c r="D5" s="62">
        <f>+'FLUJO SEMANAL'!E53</f>
        <v/>
      </c>
      <c r="E5" s="62">
        <f>+'FLUJO SEMANAL'!F53</f>
        <v/>
      </c>
      <c r="F5" s="62">
        <f>+'FLUJO SEMANAL'!G53</f>
        <v/>
      </c>
      <c r="G5" s="62">
        <f>+'FLUJO SEMANAL'!H53</f>
        <v/>
      </c>
      <c r="H5" s="62">
        <f>+'FLUJO SEMANAL'!I53</f>
        <v/>
      </c>
      <c r="I5" s="62">
        <f>+'FLUJO SEMANAL'!J53</f>
        <v/>
      </c>
      <c r="J5" s="62">
        <f>+'FLUJO SEMANAL'!K53</f>
        <v/>
      </c>
      <c r="K5" s="62">
        <f>+'FLUJO SEMANAL'!L53</f>
        <v/>
      </c>
      <c r="L5" s="62">
        <f>+'FLUJO SEMANAL'!M53</f>
        <v/>
      </c>
    </row>
    <row r="6">
      <c r="B6" s="60">
        <f>+'FLUJO SEMANAL'!A55</f>
        <v/>
      </c>
      <c r="C6" s="62">
        <f>+'FLUJO SEMANAL'!D55</f>
        <v/>
      </c>
      <c r="D6" s="62">
        <f>+'FLUJO SEMANAL'!E55</f>
        <v/>
      </c>
      <c r="E6" s="62">
        <f>+'FLUJO SEMANAL'!F55</f>
        <v/>
      </c>
      <c r="F6" s="62">
        <f>+'FLUJO SEMANAL'!G55</f>
        <v/>
      </c>
      <c r="G6" s="62">
        <f>+'FLUJO SEMANAL'!H55</f>
        <v/>
      </c>
      <c r="H6" s="62">
        <f>+'FLUJO SEMANAL'!I55</f>
        <v/>
      </c>
      <c r="I6" s="62">
        <f>+'FLUJO SEMANAL'!J55</f>
        <v/>
      </c>
      <c r="J6" s="62">
        <f>+'FLUJO SEMANAL'!K55</f>
        <v/>
      </c>
      <c r="K6" s="62">
        <f>+'FLUJO SEMANAL'!L55</f>
        <v/>
      </c>
      <c r="L6" s="62">
        <f>+'FLUJO SEMANAL'!M55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10" defaultColWidth="14.44140625" defaultRowHeight="15" customHeight="1"/>
  <cols>
    <col width="55" customWidth="1" style="134" min="1" max="1"/>
    <col width="18" customWidth="1" style="134" min="2" max="3"/>
    <col width="45" customWidth="1" style="134" min="4" max="4"/>
    <col width="14" customWidth="1" style="134" min="5" max="5"/>
    <col width="8.88671875" customWidth="1" style="134" min="6" max="26"/>
  </cols>
  <sheetData>
    <row r="1" ht="14.25" customHeight="1" s="134">
      <c r="A1" s="3" t="inlineStr">
        <is>
          <t>RESUMEN GERENCIAL Y ALERTA DE FONDEO — AL CORTE DE PARAMETROS</t>
        </is>
      </c>
    </row>
    <row r="2" ht="14.25" customHeight="1" s="134">
      <c r="A2" s="5" t="inlineStr">
        <is>
          <t>Se recalcula solo cuando se actualiza PARAMETROS o FLUJO SEMANAL. Ver también la hoja INSTRUCTIVO CPA.</t>
        </is>
      </c>
    </row>
    <row r="3" ht="14.25" customHeight="1" s="134"/>
    <row r="4" ht="14.25" customHeight="1" s="134">
      <c r="A4" s="157" t="inlineStr">
        <is>
          <t>1. POSICIÓN DE CAJA</t>
        </is>
      </c>
    </row>
    <row r="5" ht="14.25" customHeight="1" s="134">
      <c r="A5" s="12" t="inlineStr">
        <is>
          <t>Saldo real de caja al corte</t>
        </is>
      </c>
      <c r="B5" s="35">
        <f>PARAMETROS!B11</f>
        <v/>
      </c>
    </row>
    <row r="6" ht="14.25" customHeight="1" s="134">
      <c r="A6" s="12" t="inlineStr">
        <is>
          <t>Caja mínima de seguridad (1,5× gasto fijo mensual)</t>
        </is>
      </c>
      <c r="B6" s="35">
        <f>PARAMETROS!B28</f>
        <v/>
      </c>
    </row>
    <row r="7" ht="14.25" customHeight="1" s="134">
      <c r="A7" s="12" t="inlineStr">
        <is>
          <t>Colchón disponible sobre el mínimo, HOY</t>
        </is>
      </c>
      <c r="B7" s="40">
        <f>B5-B6</f>
        <v/>
      </c>
    </row>
    <row r="8" ht="14.25" customHeight="1" s="134">
      <c r="A8" s="12" t="inlineStr">
        <is>
          <t>Meses de gasto fijo que cubre la caja de hoy (objetivo &gt; 2 meses)</t>
        </is>
      </c>
      <c r="B8" s="41">
        <f>PARAMETROS!B11/PARAMETROS!B25</f>
        <v/>
      </c>
    </row>
    <row r="9" ht="14.25" customHeight="1" s="134"/>
    <row r="10" ht="14.25" customHeight="1" s="134">
      <c r="A10" s="157" t="inlineStr">
        <is>
          <t>2. GENERACIÓN OPERATIVA Y CUPO DE INVERSIÓN SOSTENIBLE</t>
        </is>
      </c>
    </row>
    <row r="11" ht="14.25" customHeight="1" s="134">
      <c r="A11" s="12" t="inlineStr">
        <is>
          <t>Ingreso operativo semanal</t>
        </is>
      </c>
      <c r="B11" s="35">
        <f>PARAMETROS!C15</f>
        <v/>
      </c>
    </row>
    <row r="12" ht="14.25" customHeight="1" s="134">
      <c r="A12" s="12" t="inlineStr">
        <is>
          <t>(–) Subtotal egresos fijos semanales (todas las categorías)</t>
        </is>
      </c>
      <c r="B12" s="35">
        <f>-PARAMETROS!C25</f>
        <v/>
      </c>
    </row>
    <row r="13" ht="14.25" customHeight="1" s="134">
      <c r="A13" s="16" t="inlineStr">
        <is>
          <t>GENERACIÓN OPERATIVA NETA SEMANAL (cupo sostenible sin financiamiento externo)</t>
        </is>
      </c>
      <c r="B13" s="42">
        <f>B11+B12</f>
        <v/>
      </c>
    </row>
    <row r="14" ht="14.25" customHeight="1" s="134">
      <c r="A14" s="12" t="inlineStr">
        <is>
          <t>Ritmo histórico de gasto en obra (jul-ago 2026, referencia)</t>
        </is>
      </c>
      <c r="B14" s="35" t="n">
        <v>10088.13</v>
      </c>
    </row>
    <row r="15" ht="14.25" customHeight="1" s="134">
      <c r="A15" s="16" t="inlineStr">
        <is>
          <t>Veces que el ritmo de obra excede el cupo sostenible</t>
        </is>
      </c>
      <c r="B15" s="43">
        <f>B14/B13</f>
        <v/>
      </c>
    </row>
    <row r="16" ht="14.25" customHeight="1" s="134"/>
    <row r="17" ht="14.25" customHeight="1" s="134">
      <c r="A17" s="157" t="inlineStr">
        <is>
          <t>3. NECESIDAD DE FONDEO PROYECTADA — SEM 37 A SEM 52</t>
        </is>
      </c>
    </row>
    <row r="18" ht="14.25" customHeight="1" s="134">
      <c r="A18" s="12" t="inlineStr">
        <is>
          <t>Acción inmediata — pedir esta semana (SEM 37) para cubrir SEM 38</t>
        </is>
      </c>
      <c r="B18" s="44">
        <f>-MIN(0,'FLUJO SEMANAL (2)'!D76)</f>
        <v/>
      </c>
    </row>
    <row r="19" ht="14.25" customHeight="1" s="134">
      <c r="A19" s="12" t="inlineStr">
        <is>
          <t>Punto de mayor déficit en todo el horizonte SI NO llega financiamiento (peor caso, no acumulativo)</t>
        </is>
      </c>
      <c r="B19" s="45">
        <f>-MIN(0,MIN('FLUJO SEMANAL (2)'!D76:AI76))</f>
        <v/>
      </c>
    </row>
    <row r="20" ht="14.25" customHeight="1" s="134">
      <c r="A20" s="158" t="inlineStr">
        <is>
          <t>🚦 Cada déficit ya incluye el que le precede si no se resuelve — no sume las filas de esta sección, cada una es independiente sobre el escenario de no recibir fondeo.</t>
        </is>
      </c>
    </row>
    <row r="21" ht="14.25" customHeight="1" s="134">
      <c r="A21" s="12" t="inlineStr">
        <is>
          <t>Número de semanas en que hace falta solicitar fondeo</t>
        </is>
      </c>
      <c r="B21" s="12">
        <f>COUNTIF('FLUJO SEMANAL (2)'!D76:AI76,"&lt;0")</f>
        <v/>
      </c>
    </row>
    <row r="22" ht="14.25" customHeight="1" s="134">
      <c r="A22" s="12" t="inlineStr">
        <is>
          <t>Total obra pendiente por programar (todos los rubros)</t>
        </is>
      </c>
      <c r="B22" s="35">
        <f>PARAMETROS!B39</f>
        <v/>
      </c>
    </row>
    <row r="23" ht="14.25" customHeight="1" s="134"/>
    <row r="24" ht="14.25" customHeight="1" s="134">
      <c r="A24" s="157" t="inlineStr">
        <is>
          <t>4. QUÉ DICE ESTO</t>
        </is>
      </c>
    </row>
    <row r="25" ht="14.25" customHeight="1" s="134">
      <c r="A25" s="154" t="inlineStr">
        <is>
          <t>El cupo de inversión sostenible (fila 2) es lo máximo que Mobijuesa puede poner en obra CADA</t>
        </is>
      </c>
    </row>
    <row r="26" ht="14.25" customHeight="1" s="134">
      <c r="A26" s="154" t="inlineStr">
        <is>
          <t>SEMANA con caja propia, sin tocar el colchón de seguridad ni pedir financiamiento externo. Todo lo</t>
        </is>
      </c>
    </row>
    <row r="27" ht="14.25" customHeight="1" s="134">
      <c r="A27" s="154" t="inlineStr">
        <is>
          <t>que la obra necesite por encima de ese número, semana a semana, es exactamente lo que la hoja</t>
        </is>
      </c>
    </row>
    <row r="28" ht="14.25" customHeight="1" s="134">
      <c r="A28" s="154" t="inlineStr">
        <is>
          <t>FLUJO SEMANAL calcula en la fila 'ACCIÓN: SOLICITAR A AGROAÉREO ESTA SEMANA' — con una semana de</t>
        </is>
      </c>
    </row>
    <row r="29" ht="14.25" customHeight="1" s="134">
      <c r="A29" s="154" t="inlineStr">
        <is>
          <t>anticipación mínima, porque el fondo tarda al menos 7 días en llegar.</t>
        </is>
      </c>
    </row>
    <row r="30" ht="14.25" customHeight="1" s="134">
      <c r="A30" s="154" t="n"/>
    </row>
    <row r="31" ht="14.25" customHeight="1" s="134">
      <c r="A31" s="154" t="inlineStr">
        <is>
          <t>Lectura con la matriz de 4 bloques (Altimira): el bloque que se rompe es Cobertura, no Rentabilidad.</t>
        </is>
      </c>
    </row>
    <row r="32" ht="14.25" customHeight="1" s="134">
      <c r="A32" s="154" t="inlineStr">
        <is>
          <t>El negocio sigue generando margen; lo que no alcanza es el RITMO al que la obra consume caja frente</t>
        </is>
      </c>
    </row>
    <row r="33" ht="14.25" customHeight="1" s="134">
      <c r="A33" s="154" t="inlineStr">
        <is>
          <t>al ritmo al que la operación la repone. La solución no es vender más rápido — es que el financiamiento</t>
        </is>
      </c>
    </row>
    <row r="34" ht="14.25" customHeight="1" s="134">
      <c r="A34" s="154" t="inlineStr">
        <is>
          <t>de Agroaéreo llegue ANTES de que la obra lo necesite, no después.</t>
        </is>
      </c>
    </row>
    <row r="35" ht="14.25" customHeight="1" s="134">
      <c r="A35" s="154" t="n"/>
    </row>
    <row r="36" ht="14.25" customHeight="1" s="134">
      <c r="A36" s="154" t="inlineStr">
        <is>
          <t>Regla operativa para el equipo: revisar esta hoja cada lunes. Si la fila 3 (necesidad de fondeo)</t>
        </is>
      </c>
    </row>
    <row r="37" ht="14.25" customHeight="1" s="134">
      <c r="A37" s="154" t="inlineStr">
        <is>
          <t>sube de una semana a otra sin que haya llegado un aporte de Agroaéreo, es señal de que el ritmo de</t>
        </is>
      </c>
    </row>
    <row r="38" ht="14.25" customHeight="1" s="134">
      <c r="A38" s="154" t="inlineStr">
        <is>
          <t>obra se está acelerando por encima de lo planificado — frenar antes de comprometer más pagos.</t>
        </is>
      </c>
    </row>
    <row r="39" ht="14.25" customHeight="1" s="134"/>
    <row r="40" ht="14.25" customHeight="1" s="134"/>
    <row r="41" ht="14.25" customHeight="1" s="134"/>
    <row r="42" ht="14.25" customHeight="1" s="134"/>
    <row r="43" ht="14.25" customHeight="1" s="134"/>
    <row r="44" ht="14.25" customHeight="1" s="134"/>
    <row r="45" ht="14.25" customHeight="1" s="134"/>
    <row r="46" ht="14.25" customHeight="1" s="134"/>
    <row r="47" ht="14.25" customHeight="1" s="134"/>
    <row r="48" ht="14.25" customHeight="1" s="134"/>
    <row r="49" ht="14.25" customHeight="1" s="134"/>
    <row r="50" ht="14.25" customHeight="1" s="134"/>
    <row r="51" ht="14.25" customHeight="1" s="134"/>
    <row r="52" ht="14.25" customHeight="1" s="134"/>
    <row r="53" ht="14.25" customHeight="1" s="134"/>
    <row r="54" ht="14.25" customHeight="1" s="134"/>
    <row r="55" ht="14.25" customHeight="1" s="134"/>
    <row r="56" ht="14.25" customHeight="1" s="134"/>
    <row r="57" ht="14.25" customHeight="1" s="134"/>
    <row r="58" ht="14.25" customHeight="1" s="134"/>
    <row r="59" ht="14.25" customHeight="1" s="134"/>
    <row r="60" ht="14.25" customHeight="1" s="134"/>
    <row r="61" ht="14.25" customHeight="1" s="134"/>
    <row r="62" ht="14.25" customHeight="1" s="134"/>
    <row r="63" ht="14.25" customHeight="1" s="134"/>
    <row r="64" ht="14.25" customHeight="1" s="134"/>
    <row r="65" ht="14.25" customHeight="1" s="134"/>
    <row r="66" ht="14.25" customHeight="1" s="134"/>
    <row r="67" ht="14.25" customHeight="1" s="134"/>
    <row r="68" ht="14.25" customHeight="1" s="134"/>
    <row r="69" ht="14.25" customHeight="1" s="134"/>
    <row r="70" ht="14.25" customHeight="1" s="134"/>
    <row r="71" ht="14.25" customHeight="1" s="134"/>
    <row r="72" ht="14.25" customHeight="1" s="134"/>
    <row r="73" ht="14.25" customHeight="1" s="134"/>
    <row r="74" ht="14.25" customHeight="1" s="134"/>
    <row r="75" ht="14.25" customHeight="1" s="134"/>
    <row r="76" ht="14.25" customHeight="1" s="134"/>
    <row r="77" ht="14.25" customHeight="1" s="134"/>
    <row r="78" ht="14.25" customHeight="1" s="134"/>
    <row r="79" ht="14.25" customHeight="1" s="134"/>
    <row r="80" ht="14.25" customHeight="1" s="134"/>
    <row r="81" ht="14.25" customHeight="1" s="134"/>
    <row r="82" ht="14.25" customHeight="1" s="134"/>
    <row r="83" ht="14.25" customHeight="1" s="134"/>
    <row r="84" ht="14.25" customHeight="1" s="134"/>
    <row r="85" ht="14.25" customHeight="1" s="134"/>
    <row r="86" ht="14.25" customHeight="1" s="134"/>
    <row r="87" ht="14.25" customHeight="1" s="134"/>
    <row r="88" ht="14.25" customHeight="1" s="134"/>
    <row r="89" ht="14.25" customHeight="1" s="134"/>
    <row r="90" ht="14.25" customHeight="1" s="134"/>
    <row r="91" ht="14.25" customHeight="1" s="134"/>
    <row r="92" ht="14.25" customHeight="1" s="134"/>
    <row r="93" ht="14.25" customHeight="1" s="134"/>
    <row r="94" ht="14.25" customHeight="1" s="134"/>
    <row r="95" ht="14.25" customHeight="1" s="134"/>
    <row r="96" ht="14.25" customHeight="1" s="134"/>
    <row r="97" ht="14.25" customHeight="1" s="134"/>
    <row r="98" ht="14.25" customHeight="1" s="134"/>
    <row r="99" ht="14.25" customHeight="1" s="134"/>
    <row r="100" ht="14.25" customHeight="1" s="134"/>
    <row r="101" ht="14.25" customHeight="1" s="134"/>
    <row r="102" ht="14.25" customHeight="1" s="134"/>
    <row r="103" ht="14.25" customHeight="1" s="134"/>
    <row r="104" ht="14.25" customHeight="1" s="134"/>
    <row r="105" ht="14.25" customHeight="1" s="134"/>
    <row r="106" ht="14.25" customHeight="1" s="134"/>
    <row r="107" ht="14.25" customHeight="1" s="134"/>
    <row r="108" ht="14.25" customHeight="1" s="134"/>
    <row r="109" ht="14.25" customHeight="1" s="134"/>
    <row r="110" ht="14.25" customHeight="1" s="134"/>
    <row r="111" ht="14.25" customHeight="1" s="134"/>
    <row r="112" ht="14.25" customHeight="1" s="134"/>
    <row r="113" ht="14.25" customHeight="1" s="134"/>
    <row r="114" ht="14.25" customHeight="1" s="134"/>
    <row r="115" ht="14.25" customHeight="1" s="134"/>
    <row r="116" ht="14.25" customHeight="1" s="134"/>
    <row r="117" ht="14.25" customHeight="1" s="134"/>
    <row r="118" ht="14.25" customHeight="1" s="134"/>
    <row r="119" ht="14.25" customHeight="1" s="134"/>
    <row r="120" ht="14.25" customHeight="1" s="134"/>
    <row r="121" ht="14.25" customHeight="1" s="134"/>
    <row r="122" ht="14.25" customHeight="1" s="134"/>
    <row r="123" ht="14.25" customHeight="1" s="134"/>
    <row r="124" ht="14.25" customHeight="1" s="134"/>
    <row r="125" ht="14.25" customHeight="1" s="134"/>
    <row r="126" ht="14.25" customHeight="1" s="134"/>
    <row r="127" ht="14.25" customHeight="1" s="134"/>
    <row r="128" ht="14.25" customHeight="1" s="134"/>
    <row r="129" ht="14.25" customHeight="1" s="134"/>
    <row r="130" ht="14.25" customHeight="1" s="134"/>
    <row r="131" ht="14.25" customHeight="1" s="134"/>
    <row r="132" ht="14.25" customHeight="1" s="134"/>
    <row r="133" ht="14.25" customHeight="1" s="134"/>
    <row r="134" ht="14.25" customHeight="1" s="134"/>
    <row r="135" ht="14.25" customHeight="1" s="134"/>
    <row r="136" ht="14.25" customHeight="1" s="134"/>
    <row r="137" ht="14.25" customHeight="1" s="134"/>
    <row r="138" ht="14.25" customHeight="1" s="134"/>
    <row r="139" ht="14.25" customHeight="1" s="134"/>
    <row r="140" ht="14.25" customHeight="1" s="134"/>
    <row r="141" ht="14.25" customHeight="1" s="134"/>
    <row r="142" ht="14.25" customHeight="1" s="134"/>
    <row r="143" ht="14.25" customHeight="1" s="134"/>
    <row r="144" ht="14.25" customHeight="1" s="134"/>
    <row r="145" ht="14.25" customHeight="1" s="134"/>
    <row r="146" ht="14.25" customHeight="1" s="134"/>
    <row r="147" ht="14.25" customHeight="1" s="134"/>
    <row r="148" ht="14.25" customHeight="1" s="134"/>
    <row r="149" ht="14.25" customHeight="1" s="134"/>
    <row r="150" ht="14.25" customHeight="1" s="134"/>
    <row r="151" ht="14.25" customHeight="1" s="134"/>
    <row r="152" ht="14.25" customHeight="1" s="134"/>
    <row r="153" ht="14.25" customHeight="1" s="134"/>
    <row r="154" ht="14.25" customHeight="1" s="134"/>
    <row r="155" ht="14.25" customHeight="1" s="134"/>
    <row r="156" ht="14.25" customHeight="1" s="134"/>
    <row r="157" ht="14.25" customHeight="1" s="134"/>
    <row r="158" ht="14.25" customHeight="1" s="134"/>
    <row r="159" ht="14.25" customHeight="1" s="134"/>
    <row r="160" ht="14.25" customHeight="1" s="134"/>
    <row r="161" ht="14.25" customHeight="1" s="134"/>
    <row r="162" ht="14.25" customHeight="1" s="134"/>
    <row r="163" ht="14.25" customHeight="1" s="134"/>
    <row r="164" ht="14.25" customHeight="1" s="134"/>
    <row r="165" ht="14.25" customHeight="1" s="134"/>
    <row r="166" ht="14.25" customHeight="1" s="134"/>
    <row r="167" ht="14.25" customHeight="1" s="134"/>
    <row r="168" ht="14.25" customHeight="1" s="134"/>
    <row r="169" ht="14.25" customHeight="1" s="134"/>
    <row r="170" ht="14.25" customHeight="1" s="134"/>
    <row r="171" ht="14.25" customHeight="1" s="134"/>
    <row r="172" ht="14.25" customHeight="1" s="134"/>
    <row r="173" ht="14.25" customHeight="1" s="134"/>
    <row r="174" ht="14.25" customHeight="1" s="134"/>
    <row r="175" ht="14.25" customHeight="1" s="134"/>
    <row r="176" ht="14.25" customHeight="1" s="134"/>
    <row r="177" ht="14.25" customHeight="1" s="134"/>
    <row r="178" ht="14.25" customHeight="1" s="134"/>
    <row r="179" ht="14.25" customHeight="1" s="134"/>
    <row r="180" ht="14.25" customHeight="1" s="134"/>
    <row r="181" ht="14.25" customHeight="1" s="134"/>
    <row r="182" ht="14.25" customHeight="1" s="134"/>
    <row r="183" ht="14.25" customHeight="1" s="134"/>
    <row r="184" ht="14.25" customHeight="1" s="134"/>
    <row r="185" ht="14.25" customHeight="1" s="134"/>
    <row r="186" ht="14.25" customHeight="1" s="134"/>
    <row r="187" ht="14.25" customHeight="1" s="134"/>
    <row r="188" ht="14.25" customHeight="1" s="134"/>
    <row r="189" ht="14.25" customHeight="1" s="134"/>
    <row r="190" ht="14.25" customHeight="1" s="134"/>
    <row r="191" ht="14.25" customHeight="1" s="134"/>
    <row r="192" ht="14.25" customHeight="1" s="134"/>
    <row r="193" ht="14.25" customHeight="1" s="134"/>
    <row r="194" ht="14.25" customHeight="1" s="134"/>
    <row r="195" ht="14.25" customHeight="1" s="134"/>
    <row r="196" ht="14.25" customHeight="1" s="134"/>
    <row r="197" ht="14.25" customHeight="1" s="134"/>
    <row r="198" ht="14.25" customHeight="1" s="134"/>
    <row r="199" ht="14.25" customHeight="1" s="134"/>
    <row r="200" ht="14.25" customHeight="1" s="134"/>
    <row r="201" ht="14.25" customHeight="1" s="134"/>
    <row r="202" ht="14.25" customHeight="1" s="134"/>
    <row r="203" ht="14.25" customHeight="1" s="134"/>
    <row r="204" ht="14.25" customHeight="1" s="134"/>
    <row r="205" ht="14.25" customHeight="1" s="134"/>
    <row r="206" ht="14.25" customHeight="1" s="134"/>
    <row r="207" ht="14.25" customHeight="1" s="134"/>
    <row r="208" ht="14.25" customHeight="1" s="134"/>
    <row r="209" ht="14.25" customHeight="1" s="134"/>
    <row r="210" ht="14.25" customHeight="1" s="134"/>
    <row r="211" ht="14.25" customHeight="1" s="134"/>
    <row r="212" ht="14.25" customHeight="1" s="134"/>
    <row r="213" ht="14.25" customHeight="1" s="134"/>
    <row r="214" ht="14.25" customHeight="1" s="134"/>
    <row r="215" ht="14.25" customHeight="1" s="134"/>
    <row r="216" ht="14.25" customHeight="1" s="134"/>
    <row r="217" ht="14.25" customHeight="1" s="134"/>
    <row r="218" ht="14.25" customHeight="1" s="134"/>
    <row r="219" ht="14.25" customHeight="1" s="134"/>
    <row r="220" ht="14.25" customHeight="1" s="134"/>
    <row r="221" ht="14.25" customHeight="1" s="134"/>
    <row r="222" ht="14.25" customHeight="1" s="134"/>
    <row r="223" ht="14.25" customHeight="1" s="134"/>
    <row r="224" ht="14.25" customHeight="1" s="134"/>
    <row r="225" ht="14.25" customHeight="1" s="134"/>
    <row r="226" ht="14.25" customHeight="1" s="134"/>
    <row r="227" ht="14.25" customHeight="1" s="134"/>
    <row r="228" ht="14.25" customHeight="1" s="134"/>
    <row r="229" ht="14.25" customHeight="1" s="134"/>
    <row r="230" ht="14.25" customHeight="1" s="134"/>
    <row r="231" ht="14.25" customHeight="1" s="134"/>
    <row r="232" ht="14.25" customHeight="1" s="134"/>
    <row r="233" ht="14.25" customHeight="1" s="134"/>
    <row r="234" ht="14.25" customHeight="1" s="134"/>
    <row r="235" ht="14.25" customHeight="1" s="134"/>
    <row r="236" ht="14.25" customHeight="1" s="134"/>
    <row r="237" ht="14.25" customHeight="1" s="134"/>
    <row r="238" ht="14.25" customHeight="1" s="134"/>
    <row r="239" ht="14.25" customHeight="1" s="134"/>
    <row r="240" ht="14.25" customHeight="1" s="134"/>
    <row r="241" ht="14.25" customHeight="1" s="134"/>
    <row r="242" ht="14.25" customHeight="1" s="134"/>
    <row r="243" ht="14.25" customHeight="1" s="134"/>
    <row r="244" ht="14.25" customHeight="1" s="134"/>
    <row r="245" ht="14.25" customHeight="1" s="134"/>
    <row r="246" ht="14.25" customHeight="1" s="134"/>
    <row r="247" ht="14.25" customHeight="1" s="134"/>
    <row r="248" ht="14.25" customHeight="1" s="134"/>
    <row r="249" ht="14.25" customHeight="1" s="134"/>
    <row r="250" ht="14.25" customHeight="1" s="134"/>
    <row r="251" ht="14.25" customHeight="1" s="134"/>
    <row r="252" ht="14.25" customHeight="1" s="134"/>
    <row r="253" ht="14.25" customHeight="1" s="134"/>
    <row r="254" ht="14.25" customHeight="1" s="134"/>
    <row r="255" ht="14.25" customHeight="1" s="134"/>
    <row r="256" ht="14.25" customHeight="1" s="134"/>
    <row r="257" ht="14.25" customHeight="1" s="134"/>
    <row r="258" ht="14.25" customHeight="1" s="134"/>
    <row r="259" ht="14.25" customHeight="1" s="134"/>
    <row r="260" ht="14.25" customHeight="1" s="134"/>
    <row r="261" ht="14.25" customHeight="1" s="134"/>
    <row r="262" ht="14.25" customHeight="1" s="134"/>
    <row r="263" ht="14.25" customHeight="1" s="134"/>
    <row r="264" ht="14.25" customHeight="1" s="134"/>
    <row r="265" ht="14.25" customHeight="1" s="134"/>
    <row r="266" ht="14.25" customHeight="1" s="134"/>
    <row r="267" ht="14.25" customHeight="1" s="134"/>
    <row r="268" ht="14.25" customHeight="1" s="134"/>
    <row r="269" ht="14.25" customHeight="1" s="134"/>
    <row r="270" ht="14.25" customHeight="1" s="134"/>
    <row r="271" ht="14.25" customHeight="1" s="134"/>
    <row r="272" ht="14.25" customHeight="1" s="134"/>
    <row r="273" ht="14.25" customHeight="1" s="134"/>
    <row r="274" ht="14.25" customHeight="1" s="134"/>
    <row r="275" ht="14.25" customHeight="1" s="134"/>
    <row r="276" ht="14.25" customHeight="1" s="134"/>
    <row r="277" ht="14.25" customHeight="1" s="134"/>
    <row r="278" ht="14.25" customHeight="1" s="134"/>
    <row r="279" ht="14.25" customHeight="1" s="134"/>
    <row r="280" ht="14.25" customHeight="1" s="134"/>
    <row r="281" ht="14.25" customHeight="1" s="134"/>
    <row r="282" ht="14.25" customHeight="1" s="134"/>
    <row r="283" ht="14.25" customHeight="1" s="134"/>
    <row r="284" ht="14.25" customHeight="1" s="134"/>
    <row r="285" ht="14.25" customHeight="1" s="134"/>
    <row r="286" ht="14.25" customHeight="1" s="134"/>
    <row r="287" ht="14.25" customHeight="1" s="134"/>
    <row r="288" ht="14.25" customHeight="1" s="134"/>
    <row r="289" ht="14.25" customHeight="1" s="134"/>
    <row r="290" ht="14.25" customHeight="1" s="134"/>
    <row r="291" ht="14.25" customHeight="1" s="134"/>
    <row r="292" ht="14.25" customHeight="1" s="134"/>
    <row r="293" ht="14.25" customHeight="1" s="134"/>
    <row r="294" ht="14.25" customHeight="1" s="134"/>
    <row r="295" ht="14.25" customHeight="1" s="134"/>
    <row r="296" ht="14.25" customHeight="1" s="134"/>
    <row r="297" ht="14.25" customHeight="1" s="134"/>
    <row r="298" ht="14.25" customHeight="1" s="134"/>
    <row r="299" ht="14.25" customHeight="1" s="134"/>
    <row r="300" ht="14.25" customHeight="1" s="134"/>
    <row r="301" ht="14.25" customHeight="1" s="134"/>
    <row r="302" ht="14.25" customHeight="1" s="134"/>
    <row r="303" ht="14.25" customHeight="1" s="134"/>
    <row r="304" ht="14.25" customHeight="1" s="134"/>
    <row r="305" ht="14.25" customHeight="1" s="134"/>
    <row r="306" ht="14.25" customHeight="1" s="134"/>
    <row r="307" ht="14.25" customHeight="1" s="134"/>
    <row r="308" ht="14.25" customHeight="1" s="134"/>
    <row r="309" ht="14.25" customHeight="1" s="134"/>
    <row r="310" ht="14.25" customHeight="1" s="134"/>
    <row r="311" ht="14.25" customHeight="1" s="134"/>
    <row r="312" ht="14.25" customHeight="1" s="134"/>
    <row r="313" ht="14.25" customHeight="1" s="134"/>
    <row r="314" ht="14.25" customHeight="1" s="134"/>
    <row r="315" ht="14.25" customHeight="1" s="134"/>
    <row r="316" ht="14.25" customHeight="1" s="134"/>
    <row r="317" ht="14.25" customHeight="1" s="134"/>
    <row r="318" ht="14.25" customHeight="1" s="134"/>
    <row r="319" ht="14.25" customHeight="1" s="134"/>
    <row r="320" ht="14.25" customHeight="1" s="134"/>
    <row r="321" ht="14.25" customHeight="1" s="134"/>
    <row r="322" ht="14.25" customHeight="1" s="134"/>
    <row r="323" ht="14.25" customHeight="1" s="134"/>
    <row r="324" ht="14.25" customHeight="1" s="134"/>
    <row r="325" ht="14.25" customHeight="1" s="134"/>
    <row r="326" ht="14.25" customHeight="1" s="134"/>
    <row r="327" ht="14.25" customHeight="1" s="134"/>
    <row r="328" ht="14.25" customHeight="1" s="134"/>
    <row r="329" ht="14.25" customHeight="1" s="134"/>
    <row r="330" ht="14.25" customHeight="1" s="134"/>
    <row r="331" ht="14.25" customHeight="1" s="134"/>
    <row r="332" ht="14.25" customHeight="1" s="134"/>
    <row r="333" ht="14.25" customHeight="1" s="134"/>
    <row r="334" ht="14.25" customHeight="1" s="134"/>
    <row r="335" ht="14.25" customHeight="1" s="134"/>
    <row r="336" ht="14.25" customHeight="1" s="134"/>
    <row r="337" ht="14.25" customHeight="1" s="134"/>
    <row r="338" ht="14.25" customHeight="1" s="134"/>
    <row r="339" ht="14.25" customHeight="1" s="134"/>
    <row r="340" ht="14.25" customHeight="1" s="134"/>
    <row r="341" ht="14.25" customHeight="1" s="134"/>
    <row r="342" ht="14.25" customHeight="1" s="134"/>
    <row r="343" ht="14.25" customHeight="1" s="134"/>
    <row r="344" ht="14.25" customHeight="1" s="134"/>
    <row r="345" ht="14.25" customHeight="1" s="134"/>
    <row r="346" ht="14.25" customHeight="1" s="134"/>
    <row r="347" ht="14.25" customHeight="1" s="134"/>
    <row r="348" ht="14.25" customHeight="1" s="134"/>
    <row r="349" ht="14.25" customHeight="1" s="134"/>
    <row r="350" ht="14.25" customHeight="1" s="134"/>
    <row r="351" ht="14.25" customHeight="1" s="134"/>
    <row r="352" ht="14.25" customHeight="1" s="134"/>
    <row r="353" ht="14.25" customHeight="1" s="134"/>
    <row r="354" ht="14.25" customHeight="1" s="134"/>
    <row r="355" ht="14.25" customHeight="1" s="134"/>
    <row r="356" ht="14.25" customHeight="1" s="134"/>
    <row r="357" ht="14.25" customHeight="1" s="134"/>
    <row r="358" ht="14.25" customHeight="1" s="134"/>
    <row r="359" ht="14.25" customHeight="1" s="134"/>
    <row r="360" ht="14.25" customHeight="1" s="134"/>
    <row r="361" ht="14.25" customHeight="1" s="134"/>
    <row r="362" ht="14.25" customHeight="1" s="134"/>
    <row r="363" ht="14.25" customHeight="1" s="134"/>
    <row r="364" ht="14.25" customHeight="1" s="134"/>
    <row r="365" ht="14.25" customHeight="1" s="134"/>
    <row r="366" ht="14.25" customHeight="1" s="134"/>
    <row r="367" ht="14.25" customHeight="1" s="134"/>
    <row r="368" ht="14.25" customHeight="1" s="134"/>
    <row r="369" ht="14.25" customHeight="1" s="134"/>
    <row r="370" ht="14.25" customHeight="1" s="134"/>
    <row r="371" ht="14.25" customHeight="1" s="134"/>
    <row r="372" ht="14.25" customHeight="1" s="134"/>
    <row r="373" ht="14.25" customHeight="1" s="134"/>
    <row r="374" ht="14.25" customHeight="1" s="134"/>
    <row r="375" ht="14.25" customHeight="1" s="134"/>
    <row r="376" ht="14.25" customHeight="1" s="134"/>
    <row r="377" ht="14.25" customHeight="1" s="134"/>
    <row r="378" ht="14.25" customHeight="1" s="134"/>
    <row r="379" ht="14.25" customHeight="1" s="134"/>
    <row r="380" ht="14.25" customHeight="1" s="134"/>
    <row r="381" ht="14.25" customHeight="1" s="134"/>
    <row r="382" ht="14.25" customHeight="1" s="134"/>
    <row r="383" ht="14.25" customHeight="1" s="134"/>
    <row r="384" ht="14.25" customHeight="1" s="134"/>
    <row r="385" ht="14.25" customHeight="1" s="134"/>
    <row r="386" ht="14.25" customHeight="1" s="134"/>
    <row r="387" ht="14.25" customHeight="1" s="134"/>
    <row r="388" ht="14.25" customHeight="1" s="134"/>
    <row r="389" ht="14.25" customHeight="1" s="134"/>
    <row r="390" ht="14.25" customHeight="1" s="134"/>
    <row r="391" ht="14.25" customHeight="1" s="134"/>
    <row r="392" ht="14.25" customHeight="1" s="134"/>
    <row r="393" ht="14.25" customHeight="1" s="134"/>
    <row r="394" ht="14.25" customHeight="1" s="134"/>
    <row r="395" ht="14.25" customHeight="1" s="134"/>
    <row r="396" ht="14.25" customHeight="1" s="134"/>
    <row r="397" ht="14.25" customHeight="1" s="134"/>
    <row r="398" ht="14.25" customHeight="1" s="134"/>
    <row r="399" ht="14.25" customHeight="1" s="134"/>
    <row r="400" ht="14.25" customHeight="1" s="134"/>
    <row r="401" ht="14.25" customHeight="1" s="134"/>
    <row r="402" ht="14.25" customHeight="1" s="134"/>
    <row r="403" ht="14.25" customHeight="1" s="134"/>
    <row r="404" ht="14.25" customHeight="1" s="134"/>
    <row r="405" ht="14.25" customHeight="1" s="134"/>
    <row r="406" ht="14.25" customHeight="1" s="134"/>
    <row r="407" ht="14.25" customHeight="1" s="134"/>
    <row r="408" ht="14.25" customHeight="1" s="134"/>
    <row r="409" ht="14.25" customHeight="1" s="134"/>
    <row r="410" ht="14.25" customHeight="1" s="134"/>
    <row r="411" ht="14.25" customHeight="1" s="134"/>
    <row r="412" ht="14.25" customHeight="1" s="134"/>
    <row r="413" ht="14.25" customHeight="1" s="134"/>
    <row r="414" ht="14.25" customHeight="1" s="134"/>
    <row r="415" ht="14.25" customHeight="1" s="134"/>
    <row r="416" ht="14.25" customHeight="1" s="134"/>
    <row r="417" ht="14.25" customHeight="1" s="134"/>
    <row r="418" ht="14.25" customHeight="1" s="134"/>
    <row r="419" ht="14.25" customHeight="1" s="134"/>
    <row r="420" ht="14.25" customHeight="1" s="134"/>
    <row r="421" ht="14.25" customHeight="1" s="134"/>
    <row r="422" ht="14.25" customHeight="1" s="134"/>
    <row r="423" ht="14.25" customHeight="1" s="134"/>
    <row r="424" ht="14.25" customHeight="1" s="134"/>
    <row r="425" ht="14.25" customHeight="1" s="134"/>
    <row r="426" ht="14.25" customHeight="1" s="134"/>
    <row r="427" ht="14.25" customHeight="1" s="134"/>
    <row r="428" ht="14.25" customHeight="1" s="134"/>
    <row r="429" ht="14.25" customHeight="1" s="134"/>
    <row r="430" ht="14.25" customHeight="1" s="134"/>
    <row r="431" ht="14.25" customHeight="1" s="134"/>
    <row r="432" ht="14.25" customHeight="1" s="134"/>
    <row r="433" ht="14.25" customHeight="1" s="134"/>
    <row r="434" ht="14.25" customHeight="1" s="134"/>
    <row r="435" ht="14.25" customHeight="1" s="134"/>
    <row r="436" ht="14.25" customHeight="1" s="134"/>
    <row r="437" ht="14.25" customHeight="1" s="134"/>
    <row r="438" ht="14.25" customHeight="1" s="134"/>
    <row r="439" ht="14.25" customHeight="1" s="134"/>
    <row r="440" ht="14.25" customHeight="1" s="134"/>
    <row r="441" ht="14.25" customHeight="1" s="134"/>
    <row r="442" ht="14.25" customHeight="1" s="134"/>
    <row r="443" ht="14.25" customHeight="1" s="134"/>
    <row r="444" ht="14.25" customHeight="1" s="134"/>
    <row r="445" ht="14.25" customHeight="1" s="134"/>
    <row r="446" ht="14.25" customHeight="1" s="134"/>
    <row r="447" ht="14.25" customHeight="1" s="134"/>
    <row r="448" ht="14.25" customHeight="1" s="134"/>
    <row r="449" ht="14.25" customHeight="1" s="134"/>
    <row r="450" ht="14.25" customHeight="1" s="134"/>
    <row r="451" ht="14.25" customHeight="1" s="134"/>
    <row r="452" ht="14.25" customHeight="1" s="134"/>
    <row r="453" ht="14.25" customHeight="1" s="134"/>
    <row r="454" ht="14.25" customHeight="1" s="134"/>
    <row r="455" ht="14.25" customHeight="1" s="134"/>
    <row r="456" ht="14.25" customHeight="1" s="134"/>
    <row r="457" ht="14.25" customHeight="1" s="134"/>
    <row r="458" ht="14.25" customHeight="1" s="134"/>
    <row r="459" ht="14.25" customHeight="1" s="134"/>
    <row r="460" ht="14.25" customHeight="1" s="134"/>
    <row r="461" ht="14.25" customHeight="1" s="134"/>
    <row r="462" ht="14.25" customHeight="1" s="134"/>
    <row r="463" ht="14.25" customHeight="1" s="134"/>
    <row r="464" ht="14.25" customHeight="1" s="134"/>
    <row r="465" ht="14.25" customHeight="1" s="134"/>
    <row r="466" ht="14.25" customHeight="1" s="134"/>
    <row r="467" ht="14.25" customHeight="1" s="134"/>
    <row r="468" ht="14.25" customHeight="1" s="134"/>
    <row r="469" ht="14.25" customHeight="1" s="134"/>
    <row r="470" ht="14.25" customHeight="1" s="134"/>
    <row r="471" ht="14.25" customHeight="1" s="134"/>
    <row r="472" ht="14.25" customHeight="1" s="134"/>
    <row r="473" ht="14.25" customHeight="1" s="134"/>
    <row r="474" ht="14.25" customHeight="1" s="134"/>
    <row r="475" ht="14.25" customHeight="1" s="134"/>
    <row r="476" ht="14.25" customHeight="1" s="134"/>
    <row r="477" ht="14.25" customHeight="1" s="134"/>
    <row r="478" ht="14.25" customHeight="1" s="134"/>
    <row r="479" ht="14.25" customHeight="1" s="134"/>
    <row r="480" ht="14.25" customHeight="1" s="134"/>
    <row r="481" ht="14.25" customHeight="1" s="134"/>
    <row r="482" ht="14.25" customHeight="1" s="134"/>
    <row r="483" ht="14.25" customHeight="1" s="134"/>
    <row r="484" ht="14.25" customHeight="1" s="134"/>
    <row r="485" ht="14.25" customHeight="1" s="134"/>
    <row r="486" ht="14.25" customHeight="1" s="134"/>
    <row r="487" ht="14.25" customHeight="1" s="134"/>
    <row r="488" ht="14.25" customHeight="1" s="134"/>
    <row r="489" ht="14.25" customHeight="1" s="134"/>
    <row r="490" ht="14.25" customHeight="1" s="134"/>
    <row r="491" ht="14.25" customHeight="1" s="134"/>
    <row r="492" ht="14.25" customHeight="1" s="134"/>
    <row r="493" ht="14.25" customHeight="1" s="134"/>
    <row r="494" ht="14.25" customHeight="1" s="134"/>
    <row r="495" ht="14.25" customHeight="1" s="134"/>
    <row r="496" ht="14.25" customHeight="1" s="134"/>
    <row r="497" ht="14.25" customHeight="1" s="134"/>
    <row r="498" ht="14.25" customHeight="1" s="134"/>
    <row r="499" ht="14.25" customHeight="1" s="134"/>
    <row r="500" ht="14.25" customHeight="1" s="134"/>
    <row r="501" ht="14.25" customHeight="1" s="134"/>
    <row r="502" ht="14.25" customHeight="1" s="134"/>
    <row r="503" ht="14.25" customHeight="1" s="134"/>
    <row r="504" ht="14.25" customHeight="1" s="134"/>
    <row r="505" ht="14.25" customHeight="1" s="134"/>
    <row r="506" ht="14.25" customHeight="1" s="134"/>
    <row r="507" ht="14.25" customHeight="1" s="134"/>
    <row r="508" ht="14.25" customHeight="1" s="134"/>
    <row r="509" ht="14.25" customHeight="1" s="134"/>
    <row r="510" ht="14.25" customHeight="1" s="134"/>
    <row r="511" ht="14.25" customHeight="1" s="134"/>
    <row r="512" ht="14.25" customHeight="1" s="134"/>
    <row r="513" ht="14.25" customHeight="1" s="134"/>
    <row r="514" ht="14.25" customHeight="1" s="134"/>
    <row r="515" ht="14.25" customHeight="1" s="134"/>
    <row r="516" ht="14.25" customHeight="1" s="134"/>
    <row r="517" ht="14.25" customHeight="1" s="134"/>
    <row r="518" ht="14.25" customHeight="1" s="134"/>
    <row r="519" ht="14.25" customHeight="1" s="134"/>
    <row r="520" ht="14.25" customHeight="1" s="134"/>
    <row r="521" ht="14.25" customHeight="1" s="134"/>
    <row r="522" ht="14.25" customHeight="1" s="134"/>
    <row r="523" ht="14.25" customHeight="1" s="134"/>
    <row r="524" ht="14.25" customHeight="1" s="134"/>
    <row r="525" ht="14.25" customHeight="1" s="134"/>
    <row r="526" ht="14.25" customHeight="1" s="134"/>
    <row r="527" ht="14.25" customHeight="1" s="134"/>
    <row r="528" ht="14.25" customHeight="1" s="134"/>
    <row r="529" ht="14.25" customHeight="1" s="134"/>
    <row r="530" ht="14.25" customHeight="1" s="134"/>
    <row r="531" ht="14.25" customHeight="1" s="134"/>
    <row r="532" ht="14.25" customHeight="1" s="134"/>
    <row r="533" ht="14.25" customHeight="1" s="134"/>
    <row r="534" ht="14.25" customHeight="1" s="134"/>
    <row r="535" ht="14.25" customHeight="1" s="134"/>
    <row r="536" ht="14.25" customHeight="1" s="134"/>
    <row r="537" ht="14.25" customHeight="1" s="134"/>
    <row r="538" ht="14.25" customHeight="1" s="134"/>
    <row r="539" ht="14.25" customHeight="1" s="134"/>
    <row r="540" ht="14.25" customHeight="1" s="134"/>
    <row r="541" ht="14.25" customHeight="1" s="134"/>
    <row r="542" ht="14.25" customHeight="1" s="134"/>
    <row r="543" ht="14.25" customHeight="1" s="134"/>
    <row r="544" ht="14.25" customHeight="1" s="134"/>
    <row r="545" ht="14.25" customHeight="1" s="134"/>
    <row r="546" ht="14.25" customHeight="1" s="134"/>
    <row r="547" ht="14.25" customHeight="1" s="134"/>
    <row r="548" ht="14.25" customHeight="1" s="134"/>
    <row r="549" ht="14.25" customHeight="1" s="134"/>
    <row r="550" ht="14.25" customHeight="1" s="134"/>
    <row r="551" ht="14.25" customHeight="1" s="134"/>
    <row r="552" ht="14.25" customHeight="1" s="134"/>
    <row r="553" ht="14.25" customHeight="1" s="134"/>
    <row r="554" ht="14.25" customHeight="1" s="134"/>
    <row r="555" ht="14.25" customHeight="1" s="134"/>
    <row r="556" ht="14.25" customHeight="1" s="134"/>
    <row r="557" ht="14.25" customHeight="1" s="134"/>
    <row r="558" ht="14.25" customHeight="1" s="134"/>
    <row r="559" ht="14.25" customHeight="1" s="134"/>
    <row r="560" ht="14.25" customHeight="1" s="134"/>
    <row r="561" ht="14.25" customHeight="1" s="134"/>
    <row r="562" ht="14.25" customHeight="1" s="134"/>
    <row r="563" ht="14.25" customHeight="1" s="134"/>
    <row r="564" ht="14.25" customHeight="1" s="134"/>
    <row r="565" ht="14.25" customHeight="1" s="134"/>
    <row r="566" ht="14.25" customHeight="1" s="134"/>
    <row r="567" ht="14.25" customHeight="1" s="134"/>
    <row r="568" ht="14.25" customHeight="1" s="134"/>
    <row r="569" ht="14.25" customHeight="1" s="134"/>
    <row r="570" ht="14.25" customHeight="1" s="134"/>
    <row r="571" ht="14.25" customHeight="1" s="134"/>
    <row r="572" ht="14.25" customHeight="1" s="134"/>
    <row r="573" ht="14.25" customHeight="1" s="134"/>
    <row r="574" ht="14.25" customHeight="1" s="134"/>
    <row r="575" ht="14.25" customHeight="1" s="134"/>
    <row r="576" ht="14.25" customHeight="1" s="134"/>
    <row r="577" ht="14.25" customHeight="1" s="134"/>
    <row r="578" ht="14.25" customHeight="1" s="134"/>
    <row r="579" ht="14.25" customHeight="1" s="134"/>
    <row r="580" ht="14.25" customHeight="1" s="134"/>
    <row r="581" ht="14.25" customHeight="1" s="134"/>
    <row r="582" ht="14.25" customHeight="1" s="134"/>
    <row r="583" ht="14.25" customHeight="1" s="134"/>
    <row r="584" ht="14.25" customHeight="1" s="134"/>
    <row r="585" ht="14.25" customHeight="1" s="134"/>
    <row r="586" ht="14.25" customHeight="1" s="134"/>
    <row r="587" ht="14.25" customHeight="1" s="134"/>
    <row r="588" ht="14.25" customHeight="1" s="134"/>
    <row r="589" ht="14.25" customHeight="1" s="134"/>
    <row r="590" ht="14.25" customHeight="1" s="134"/>
    <row r="591" ht="14.25" customHeight="1" s="134"/>
    <row r="592" ht="14.25" customHeight="1" s="134"/>
    <row r="593" ht="14.25" customHeight="1" s="134"/>
    <row r="594" ht="14.25" customHeight="1" s="134"/>
    <row r="595" ht="14.25" customHeight="1" s="134"/>
    <row r="596" ht="14.25" customHeight="1" s="134"/>
    <row r="597" ht="14.25" customHeight="1" s="134"/>
    <row r="598" ht="14.25" customHeight="1" s="134"/>
    <row r="599" ht="14.25" customHeight="1" s="134"/>
    <row r="600" ht="14.25" customHeight="1" s="134"/>
    <row r="601" ht="14.25" customHeight="1" s="134"/>
    <row r="602" ht="14.25" customHeight="1" s="134"/>
    <row r="603" ht="14.25" customHeight="1" s="134"/>
    <row r="604" ht="14.25" customHeight="1" s="134"/>
    <row r="605" ht="14.25" customHeight="1" s="134"/>
    <row r="606" ht="14.25" customHeight="1" s="134"/>
    <row r="607" ht="14.25" customHeight="1" s="134"/>
    <row r="608" ht="14.25" customHeight="1" s="134"/>
    <row r="609" ht="14.25" customHeight="1" s="134"/>
    <row r="610" ht="14.25" customHeight="1" s="134"/>
    <row r="611" ht="14.25" customHeight="1" s="134"/>
    <row r="612" ht="14.25" customHeight="1" s="134"/>
    <row r="613" ht="14.25" customHeight="1" s="134"/>
    <row r="614" ht="14.25" customHeight="1" s="134"/>
    <row r="615" ht="14.25" customHeight="1" s="134"/>
    <row r="616" ht="14.25" customHeight="1" s="134"/>
    <row r="617" ht="14.25" customHeight="1" s="134"/>
    <row r="618" ht="14.25" customHeight="1" s="134"/>
    <row r="619" ht="14.25" customHeight="1" s="134"/>
    <row r="620" ht="14.25" customHeight="1" s="134"/>
    <row r="621" ht="14.25" customHeight="1" s="134"/>
    <row r="622" ht="14.25" customHeight="1" s="134"/>
    <row r="623" ht="14.25" customHeight="1" s="134"/>
    <row r="624" ht="14.25" customHeight="1" s="134"/>
    <row r="625" ht="14.25" customHeight="1" s="134"/>
    <row r="626" ht="14.25" customHeight="1" s="134"/>
    <row r="627" ht="14.25" customHeight="1" s="134"/>
    <row r="628" ht="14.25" customHeight="1" s="134"/>
    <row r="629" ht="14.25" customHeight="1" s="134"/>
    <row r="630" ht="14.25" customHeight="1" s="134"/>
    <row r="631" ht="14.25" customHeight="1" s="134"/>
    <row r="632" ht="14.25" customHeight="1" s="134"/>
    <row r="633" ht="14.25" customHeight="1" s="134"/>
    <row r="634" ht="14.25" customHeight="1" s="134"/>
    <row r="635" ht="14.25" customHeight="1" s="134"/>
    <row r="636" ht="14.25" customHeight="1" s="134"/>
    <row r="637" ht="14.25" customHeight="1" s="134"/>
    <row r="638" ht="14.25" customHeight="1" s="134"/>
    <row r="639" ht="14.25" customHeight="1" s="134"/>
    <row r="640" ht="14.25" customHeight="1" s="134"/>
    <row r="641" ht="14.25" customHeight="1" s="134"/>
    <row r="642" ht="14.25" customHeight="1" s="134"/>
    <row r="643" ht="14.25" customHeight="1" s="134"/>
    <row r="644" ht="14.25" customHeight="1" s="134"/>
    <row r="645" ht="14.25" customHeight="1" s="134"/>
    <row r="646" ht="14.25" customHeight="1" s="134"/>
    <row r="647" ht="14.25" customHeight="1" s="134"/>
    <row r="648" ht="14.25" customHeight="1" s="134"/>
    <row r="649" ht="14.25" customHeight="1" s="134"/>
    <row r="650" ht="14.25" customHeight="1" s="134"/>
    <row r="651" ht="14.25" customHeight="1" s="134"/>
    <row r="652" ht="14.25" customHeight="1" s="134"/>
    <row r="653" ht="14.25" customHeight="1" s="134"/>
    <row r="654" ht="14.25" customHeight="1" s="134"/>
    <row r="655" ht="14.25" customHeight="1" s="134"/>
    <row r="656" ht="14.25" customHeight="1" s="134"/>
    <row r="657" ht="14.25" customHeight="1" s="134"/>
    <row r="658" ht="14.25" customHeight="1" s="134"/>
    <row r="659" ht="14.25" customHeight="1" s="134"/>
    <row r="660" ht="14.25" customHeight="1" s="134"/>
    <row r="661" ht="14.25" customHeight="1" s="134"/>
    <row r="662" ht="14.25" customHeight="1" s="134"/>
    <row r="663" ht="14.25" customHeight="1" s="134"/>
    <row r="664" ht="14.25" customHeight="1" s="134"/>
    <row r="665" ht="14.25" customHeight="1" s="134"/>
    <row r="666" ht="14.25" customHeight="1" s="134"/>
    <row r="667" ht="14.25" customHeight="1" s="134"/>
    <row r="668" ht="14.25" customHeight="1" s="134"/>
    <row r="669" ht="14.25" customHeight="1" s="134"/>
    <row r="670" ht="14.25" customHeight="1" s="134"/>
    <row r="671" ht="14.25" customHeight="1" s="134"/>
    <row r="672" ht="14.25" customHeight="1" s="134"/>
    <row r="673" ht="14.25" customHeight="1" s="134"/>
    <row r="674" ht="14.25" customHeight="1" s="134"/>
    <row r="675" ht="14.25" customHeight="1" s="134"/>
    <row r="676" ht="14.25" customHeight="1" s="134"/>
    <row r="677" ht="14.25" customHeight="1" s="134"/>
    <row r="678" ht="14.25" customHeight="1" s="134"/>
    <row r="679" ht="14.25" customHeight="1" s="134"/>
    <row r="680" ht="14.25" customHeight="1" s="134"/>
    <row r="681" ht="14.25" customHeight="1" s="134"/>
    <row r="682" ht="14.25" customHeight="1" s="134"/>
    <row r="683" ht="14.25" customHeight="1" s="134"/>
    <row r="684" ht="14.25" customHeight="1" s="134"/>
    <row r="685" ht="14.25" customHeight="1" s="134"/>
    <row r="686" ht="14.25" customHeight="1" s="134"/>
    <row r="687" ht="14.25" customHeight="1" s="134"/>
    <row r="688" ht="14.25" customHeight="1" s="134"/>
    <row r="689" ht="14.25" customHeight="1" s="134"/>
    <row r="690" ht="14.25" customHeight="1" s="134"/>
    <row r="691" ht="14.25" customHeight="1" s="134"/>
    <row r="692" ht="14.25" customHeight="1" s="134"/>
    <row r="693" ht="14.25" customHeight="1" s="134"/>
    <row r="694" ht="14.25" customHeight="1" s="134"/>
    <row r="695" ht="14.25" customHeight="1" s="134"/>
    <row r="696" ht="14.25" customHeight="1" s="134"/>
    <row r="697" ht="14.25" customHeight="1" s="134"/>
    <row r="698" ht="14.25" customHeight="1" s="134"/>
    <row r="699" ht="14.25" customHeight="1" s="134"/>
    <row r="700" ht="14.25" customHeight="1" s="134"/>
    <row r="701" ht="14.25" customHeight="1" s="134"/>
    <row r="702" ht="14.25" customHeight="1" s="134"/>
    <row r="703" ht="14.25" customHeight="1" s="134"/>
    <row r="704" ht="14.25" customHeight="1" s="134"/>
    <row r="705" ht="14.25" customHeight="1" s="134"/>
    <row r="706" ht="14.25" customHeight="1" s="134"/>
    <row r="707" ht="14.25" customHeight="1" s="134"/>
    <row r="708" ht="14.25" customHeight="1" s="134"/>
    <row r="709" ht="14.25" customHeight="1" s="134"/>
    <row r="710" ht="14.25" customHeight="1" s="134"/>
    <row r="711" ht="14.25" customHeight="1" s="134"/>
    <row r="712" ht="14.25" customHeight="1" s="134"/>
    <row r="713" ht="14.25" customHeight="1" s="134"/>
    <row r="714" ht="14.25" customHeight="1" s="134"/>
    <row r="715" ht="14.25" customHeight="1" s="134"/>
    <row r="716" ht="14.25" customHeight="1" s="134"/>
    <row r="717" ht="14.25" customHeight="1" s="134"/>
    <row r="718" ht="14.25" customHeight="1" s="134"/>
    <row r="719" ht="14.25" customHeight="1" s="134"/>
    <row r="720" ht="14.25" customHeight="1" s="134"/>
    <row r="721" ht="14.25" customHeight="1" s="134"/>
    <row r="722" ht="14.25" customHeight="1" s="134"/>
    <row r="723" ht="14.25" customHeight="1" s="134"/>
    <row r="724" ht="14.25" customHeight="1" s="134"/>
    <row r="725" ht="14.25" customHeight="1" s="134"/>
    <row r="726" ht="14.25" customHeight="1" s="134"/>
    <row r="727" ht="14.25" customHeight="1" s="134"/>
    <row r="728" ht="14.25" customHeight="1" s="134"/>
    <row r="729" ht="14.25" customHeight="1" s="134"/>
    <row r="730" ht="14.25" customHeight="1" s="134"/>
    <row r="731" ht="14.25" customHeight="1" s="134"/>
    <row r="732" ht="14.25" customHeight="1" s="134"/>
    <row r="733" ht="14.25" customHeight="1" s="134"/>
    <row r="734" ht="14.25" customHeight="1" s="134"/>
    <row r="735" ht="14.25" customHeight="1" s="134"/>
    <row r="736" ht="14.25" customHeight="1" s="134"/>
    <row r="737" ht="14.25" customHeight="1" s="134"/>
    <row r="738" ht="14.25" customHeight="1" s="134"/>
    <row r="739" ht="14.25" customHeight="1" s="134"/>
    <row r="740" ht="14.25" customHeight="1" s="134"/>
    <row r="741" ht="14.25" customHeight="1" s="134"/>
    <row r="742" ht="14.25" customHeight="1" s="134"/>
    <row r="743" ht="14.25" customHeight="1" s="134"/>
    <row r="744" ht="14.25" customHeight="1" s="134"/>
    <row r="745" ht="14.25" customHeight="1" s="134"/>
    <row r="746" ht="14.25" customHeight="1" s="134"/>
    <row r="747" ht="14.25" customHeight="1" s="134"/>
    <row r="748" ht="14.25" customHeight="1" s="134"/>
    <row r="749" ht="14.25" customHeight="1" s="134"/>
    <row r="750" ht="14.25" customHeight="1" s="134"/>
    <row r="751" ht="14.25" customHeight="1" s="134"/>
    <row r="752" ht="14.25" customHeight="1" s="134"/>
    <row r="753" ht="14.25" customHeight="1" s="134"/>
    <row r="754" ht="14.25" customHeight="1" s="134"/>
    <row r="755" ht="14.25" customHeight="1" s="134"/>
    <row r="756" ht="14.25" customHeight="1" s="134"/>
    <row r="757" ht="14.25" customHeight="1" s="134"/>
    <row r="758" ht="14.25" customHeight="1" s="134"/>
    <row r="759" ht="14.25" customHeight="1" s="134"/>
    <row r="760" ht="14.25" customHeight="1" s="134"/>
    <row r="761" ht="14.25" customHeight="1" s="134"/>
    <row r="762" ht="14.25" customHeight="1" s="134"/>
    <row r="763" ht="14.25" customHeight="1" s="134"/>
    <row r="764" ht="14.25" customHeight="1" s="134"/>
    <row r="765" ht="14.25" customHeight="1" s="134"/>
    <row r="766" ht="14.25" customHeight="1" s="134"/>
    <row r="767" ht="14.25" customHeight="1" s="134"/>
    <row r="768" ht="14.25" customHeight="1" s="134"/>
    <row r="769" ht="14.25" customHeight="1" s="134"/>
    <row r="770" ht="14.25" customHeight="1" s="134"/>
    <row r="771" ht="14.25" customHeight="1" s="134"/>
    <row r="772" ht="14.25" customHeight="1" s="134"/>
    <row r="773" ht="14.25" customHeight="1" s="134"/>
    <row r="774" ht="14.25" customHeight="1" s="134"/>
    <row r="775" ht="14.25" customHeight="1" s="134"/>
    <row r="776" ht="14.25" customHeight="1" s="134"/>
    <row r="777" ht="14.25" customHeight="1" s="134"/>
    <row r="778" ht="14.25" customHeight="1" s="134"/>
    <row r="779" ht="14.25" customHeight="1" s="134"/>
    <row r="780" ht="14.25" customHeight="1" s="134"/>
    <row r="781" ht="14.25" customHeight="1" s="134"/>
    <row r="782" ht="14.25" customHeight="1" s="134"/>
    <row r="783" ht="14.25" customHeight="1" s="134"/>
    <row r="784" ht="14.25" customHeight="1" s="134"/>
    <row r="785" ht="14.25" customHeight="1" s="134"/>
    <row r="786" ht="14.25" customHeight="1" s="134"/>
    <row r="787" ht="14.25" customHeight="1" s="134"/>
    <row r="788" ht="14.25" customHeight="1" s="134"/>
    <row r="789" ht="14.25" customHeight="1" s="134"/>
    <row r="790" ht="14.25" customHeight="1" s="134"/>
    <row r="791" ht="14.25" customHeight="1" s="134"/>
    <row r="792" ht="14.25" customHeight="1" s="134"/>
    <row r="793" ht="14.25" customHeight="1" s="134"/>
    <row r="794" ht="14.25" customHeight="1" s="134"/>
    <row r="795" ht="14.25" customHeight="1" s="134"/>
    <row r="796" ht="14.25" customHeight="1" s="134"/>
    <row r="797" ht="14.25" customHeight="1" s="134"/>
    <row r="798" ht="14.25" customHeight="1" s="134"/>
    <row r="799" ht="14.25" customHeight="1" s="134"/>
    <row r="800" ht="14.25" customHeight="1" s="134"/>
    <row r="801" ht="14.25" customHeight="1" s="134"/>
    <row r="802" ht="14.25" customHeight="1" s="134"/>
    <row r="803" ht="14.25" customHeight="1" s="134"/>
    <row r="804" ht="14.25" customHeight="1" s="134"/>
    <row r="805" ht="14.25" customHeight="1" s="134"/>
    <row r="806" ht="14.25" customHeight="1" s="134"/>
    <row r="807" ht="14.25" customHeight="1" s="134"/>
    <row r="808" ht="14.25" customHeight="1" s="134"/>
    <row r="809" ht="14.25" customHeight="1" s="134"/>
    <row r="810" ht="14.25" customHeight="1" s="134"/>
    <row r="811" ht="14.25" customHeight="1" s="134"/>
    <row r="812" ht="14.25" customHeight="1" s="134"/>
    <row r="813" ht="14.25" customHeight="1" s="134"/>
    <row r="814" ht="14.25" customHeight="1" s="134"/>
    <row r="815" ht="14.25" customHeight="1" s="134"/>
    <row r="816" ht="14.25" customHeight="1" s="134"/>
    <row r="817" ht="14.25" customHeight="1" s="134"/>
    <row r="818" ht="14.25" customHeight="1" s="134"/>
    <row r="819" ht="14.25" customHeight="1" s="134"/>
    <row r="820" ht="14.25" customHeight="1" s="134"/>
    <row r="821" ht="14.25" customHeight="1" s="134"/>
    <row r="822" ht="14.25" customHeight="1" s="134"/>
    <row r="823" ht="14.25" customHeight="1" s="134"/>
    <row r="824" ht="14.25" customHeight="1" s="134"/>
    <row r="825" ht="14.25" customHeight="1" s="134"/>
    <row r="826" ht="14.25" customHeight="1" s="134"/>
    <row r="827" ht="14.25" customHeight="1" s="134"/>
    <row r="828" ht="14.25" customHeight="1" s="134"/>
    <row r="829" ht="14.25" customHeight="1" s="134"/>
    <row r="830" ht="14.25" customHeight="1" s="134"/>
    <row r="831" ht="14.25" customHeight="1" s="134"/>
    <row r="832" ht="14.25" customHeight="1" s="134"/>
    <row r="833" ht="14.25" customHeight="1" s="134"/>
    <row r="834" ht="14.25" customHeight="1" s="134"/>
    <row r="835" ht="14.25" customHeight="1" s="134"/>
    <row r="836" ht="14.25" customHeight="1" s="134"/>
    <row r="837" ht="14.25" customHeight="1" s="134"/>
    <row r="838" ht="14.25" customHeight="1" s="134"/>
    <row r="839" ht="14.25" customHeight="1" s="134"/>
    <row r="840" ht="14.25" customHeight="1" s="134"/>
    <row r="841" ht="14.25" customHeight="1" s="134"/>
    <row r="842" ht="14.25" customHeight="1" s="134"/>
    <row r="843" ht="14.25" customHeight="1" s="134"/>
    <row r="844" ht="14.25" customHeight="1" s="134"/>
    <row r="845" ht="14.25" customHeight="1" s="134"/>
    <row r="846" ht="14.25" customHeight="1" s="134"/>
    <row r="847" ht="14.25" customHeight="1" s="134"/>
    <row r="848" ht="14.25" customHeight="1" s="134"/>
    <row r="849" ht="14.25" customHeight="1" s="134"/>
    <row r="850" ht="14.25" customHeight="1" s="134"/>
    <row r="851" ht="14.25" customHeight="1" s="134"/>
    <row r="852" ht="14.25" customHeight="1" s="134"/>
    <row r="853" ht="14.25" customHeight="1" s="134"/>
    <row r="854" ht="14.25" customHeight="1" s="134"/>
    <row r="855" ht="14.25" customHeight="1" s="134"/>
    <row r="856" ht="14.25" customHeight="1" s="134"/>
    <row r="857" ht="14.25" customHeight="1" s="134"/>
    <row r="858" ht="14.25" customHeight="1" s="134"/>
    <row r="859" ht="14.25" customHeight="1" s="134"/>
    <row r="860" ht="14.25" customHeight="1" s="134"/>
    <row r="861" ht="14.25" customHeight="1" s="134"/>
    <row r="862" ht="14.25" customHeight="1" s="134"/>
    <row r="863" ht="14.25" customHeight="1" s="134"/>
    <row r="864" ht="14.25" customHeight="1" s="134"/>
    <row r="865" ht="14.25" customHeight="1" s="134"/>
    <row r="866" ht="14.25" customHeight="1" s="134"/>
    <row r="867" ht="14.25" customHeight="1" s="134"/>
    <row r="868" ht="14.25" customHeight="1" s="134"/>
    <row r="869" ht="14.25" customHeight="1" s="134"/>
    <row r="870" ht="14.25" customHeight="1" s="134"/>
    <row r="871" ht="14.25" customHeight="1" s="134"/>
    <row r="872" ht="14.25" customHeight="1" s="134"/>
    <row r="873" ht="14.25" customHeight="1" s="134"/>
    <row r="874" ht="14.25" customHeight="1" s="134"/>
    <row r="875" ht="14.25" customHeight="1" s="134"/>
    <row r="876" ht="14.25" customHeight="1" s="134"/>
    <row r="877" ht="14.25" customHeight="1" s="134"/>
    <row r="878" ht="14.25" customHeight="1" s="134"/>
    <row r="879" ht="14.25" customHeight="1" s="134"/>
    <row r="880" ht="14.25" customHeight="1" s="134"/>
    <row r="881" ht="14.25" customHeight="1" s="134"/>
    <row r="882" ht="14.25" customHeight="1" s="134"/>
    <row r="883" ht="14.25" customHeight="1" s="134"/>
    <row r="884" ht="14.25" customHeight="1" s="134"/>
    <row r="885" ht="14.25" customHeight="1" s="134"/>
    <row r="886" ht="14.25" customHeight="1" s="134"/>
    <row r="887" ht="14.25" customHeight="1" s="134"/>
    <row r="888" ht="14.25" customHeight="1" s="134"/>
    <row r="889" ht="14.25" customHeight="1" s="134"/>
    <row r="890" ht="14.25" customHeight="1" s="134"/>
    <row r="891" ht="14.25" customHeight="1" s="134"/>
    <row r="892" ht="14.25" customHeight="1" s="134"/>
    <row r="893" ht="14.25" customHeight="1" s="134"/>
    <row r="894" ht="14.25" customHeight="1" s="134"/>
    <row r="895" ht="14.25" customHeight="1" s="134"/>
    <row r="896" ht="14.25" customHeight="1" s="134"/>
    <row r="897" ht="14.25" customHeight="1" s="134"/>
    <row r="898" ht="14.25" customHeight="1" s="134"/>
    <row r="899" ht="14.25" customHeight="1" s="134"/>
    <row r="900" ht="14.25" customHeight="1" s="134"/>
    <row r="901" ht="14.25" customHeight="1" s="134"/>
    <row r="902" ht="14.25" customHeight="1" s="134"/>
    <row r="903" ht="14.25" customHeight="1" s="134"/>
    <row r="904" ht="14.25" customHeight="1" s="134"/>
    <row r="905" ht="14.25" customHeight="1" s="134"/>
    <row r="906" ht="14.25" customHeight="1" s="134"/>
    <row r="907" ht="14.25" customHeight="1" s="134"/>
    <row r="908" ht="14.25" customHeight="1" s="134"/>
    <row r="909" ht="14.25" customHeight="1" s="134"/>
    <row r="910" ht="14.25" customHeight="1" s="134"/>
    <row r="911" ht="14.25" customHeight="1" s="134"/>
    <row r="912" ht="14.25" customHeight="1" s="134"/>
    <row r="913" ht="14.25" customHeight="1" s="134"/>
    <row r="914" ht="14.25" customHeight="1" s="134"/>
    <row r="915" ht="14.25" customHeight="1" s="134"/>
    <row r="916" ht="14.25" customHeight="1" s="134"/>
    <row r="917" ht="14.25" customHeight="1" s="134"/>
    <row r="918" ht="14.25" customHeight="1" s="134"/>
    <row r="919" ht="14.25" customHeight="1" s="134"/>
    <row r="920" ht="14.25" customHeight="1" s="134"/>
    <row r="921" ht="14.25" customHeight="1" s="134"/>
    <row r="922" ht="14.25" customHeight="1" s="134"/>
    <row r="923" ht="14.25" customHeight="1" s="134"/>
    <row r="924" ht="14.25" customHeight="1" s="134"/>
    <row r="925" ht="14.25" customHeight="1" s="134"/>
    <row r="926" ht="14.25" customHeight="1" s="134"/>
    <row r="927" ht="14.25" customHeight="1" s="134"/>
    <row r="928" ht="14.25" customHeight="1" s="134"/>
    <row r="929" ht="14.25" customHeight="1" s="134"/>
    <row r="930" ht="14.25" customHeight="1" s="134"/>
    <row r="931" ht="14.25" customHeight="1" s="134"/>
    <row r="932" ht="14.25" customHeight="1" s="134"/>
    <row r="933" ht="14.25" customHeight="1" s="134"/>
    <row r="934" ht="14.25" customHeight="1" s="134"/>
    <row r="935" ht="14.25" customHeight="1" s="134"/>
    <row r="936" ht="14.25" customHeight="1" s="134"/>
    <row r="937" ht="14.25" customHeight="1" s="134"/>
    <row r="938" ht="14.25" customHeight="1" s="134"/>
    <row r="939" ht="14.25" customHeight="1" s="134"/>
    <row r="940" ht="14.25" customHeight="1" s="134"/>
    <row r="941" ht="14.25" customHeight="1" s="134"/>
    <row r="942" ht="14.25" customHeight="1" s="134"/>
    <row r="943" ht="14.25" customHeight="1" s="134"/>
    <row r="944" ht="14.25" customHeight="1" s="134"/>
    <row r="945" ht="14.25" customHeight="1" s="134"/>
    <row r="946" ht="14.25" customHeight="1" s="134"/>
    <row r="947" ht="14.25" customHeight="1" s="134"/>
    <row r="948" ht="14.25" customHeight="1" s="134"/>
    <row r="949" ht="14.25" customHeight="1" s="134"/>
    <row r="950" ht="14.25" customHeight="1" s="134"/>
    <row r="951" ht="14.25" customHeight="1" s="134"/>
    <row r="952" ht="14.25" customHeight="1" s="134"/>
    <row r="953" ht="14.25" customHeight="1" s="134"/>
    <row r="954" ht="14.25" customHeight="1" s="134"/>
    <row r="955" ht="14.25" customHeight="1" s="134"/>
    <row r="956" ht="14.25" customHeight="1" s="134"/>
    <row r="957" ht="14.25" customHeight="1" s="134"/>
    <row r="958" ht="14.25" customHeight="1" s="134"/>
    <row r="959" ht="14.25" customHeight="1" s="134"/>
    <row r="960" ht="14.25" customHeight="1" s="134"/>
    <row r="961" ht="14.25" customHeight="1" s="134"/>
    <row r="962" ht="14.25" customHeight="1" s="134"/>
    <row r="963" ht="14.25" customHeight="1" s="134"/>
    <row r="964" ht="14.25" customHeight="1" s="134"/>
    <row r="965" ht="14.25" customHeight="1" s="134"/>
    <row r="966" ht="14.25" customHeight="1" s="134"/>
    <row r="967" ht="14.25" customHeight="1" s="134"/>
    <row r="968" ht="14.25" customHeight="1" s="134"/>
    <row r="969" ht="14.25" customHeight="1" s="134"/>
    <row r="970" ht="14.25" customHeight="1" s="134"/>
    <row r="971" ht="14.25" customHeight="1" s="134"/>
    <row r="972" ht="14.25" customHeight="1" s="134"/>
    <row r="973" ht="14.25" customHeight="1" s="134"/>
    <row r="974" ht="14.25" customHeight="1" s="134"/>
    <row r="975" ht="14.25" customHeight="1" s="134"/>
    <row r="976" ht="14.25" customHeight="1" s="134"/>
    <row r="977" ht="14.25" customHeight="1" s="134"/>
    <row r="978" ht="14.25" customHeight="1" s="134"/>
    <row r="979" ht="14.25" customHeight="1" s="134"/>
    <row r="980" ht="14.25" customHeight="1" s="134"/>
    <row r="981" ht="14.25" customHeight="1" s="134"/>
    <row r="982" ht="14.25" customHeight="1" s="134"/>
    <row r="983" ht="14.25" customHeight="1" s="134"/>
    <row r="984" ht="14.25" customHeight="1" s="134"/>
    <row r="985" ht="14.25" customHeight="1" s="134"/>
    <row r="986" ht="14.25" customHeight="1" s="134"/>
    <row r="987" ht="14.25" customHeight="1" s="134"/>
    <row r="988" ht="14.25" customHeight="1" s="134"/>
    <row r="989" ht="14.25" customHeight="1" s="134"/>
    <row r="990" ht="14.25" customHeight="1" s="134"/>
    <row r="991" ht="14.25" customHeight="1" s="134"/>
    <row r="992" ht="14.25" customHeight="1" s="134"/>
    <row r="993" ht="14.25" customHeight="1" s="134"/>
    <row r="994" ht="14.25" customHeight="1" s="134"/>
    <row r="995" ht="14.25" customHeight="1" s="134"/>
    <row r="996" ht="14.25" customHeight="1" s="134"/>
    <row r="997" ht="14.25" customHeight="1" s="134"/>
    <row r="998" ht="14.25" customHeight="1" s="134"/>
    <row r="999" ht="14.25" customHeight="1" s="134"/>
    <row r="1000" ht="14.25" customHeight="1" s="134"/>
  </sheetData>
  <mergeCells count="19">
    <mergeCell ref="A17:D17"/>
    <mergeCell ref="A35:D35"/>
    <mergeCell ref="A4:D4"/>
    <mergeCell ref="A20:D20"/>
    <mergeCell ref="A38:D38"/>
    <mergeCell ref="A29:D29"/>
    <mergeCell ref="A10:D10"/>
    <mergeCell ref="A28:D28"/>
    <mergeCell ref="A31:D31"/>
    <mergeCell ref="A34:D34"/>
    <mergeCell ref="A30:D30"/>
    <mergeCell ref="A24:D24"/>
    <mergeCell ref="A36:D36"/>
    <mergeCell ref="A25:D25"/>
    <mergeCell ref="A37:D37"/>
    <mergeCell ref="A27:D27"/>
    <mergeCell ref="A26:D26"/>
    <mergeCell ref="A33:D33"/>
    <mergeCell ref="A32:D32"/>
  </mergeCell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A1:AQ77"/>
  <sheetViews>
    <sheetView showGridLines="0" tabSelected="1" zoomScaleNormal="100" workbookViewId="0">
      <pane xSplit="2" ySplit="5" topLeftCell="C33" activePane="bottomRight" state="frozen"/>
      <selection pane="topRight" activeCell="C1" sqref="C1"/>
      <selection pane="bottomLeft" activeCell="A6" sqref="A6"/>
      <selection pane="bottomRight" activeCell="F33" sqref="F33"/>
    </sheetView>
  </sheetViews>
  <sheetFormatPr baseColWidth="10" defaultColWidth="14.44140625" defaultRowHeight="15" customHeight="1"/>
  <cols>
    <col width="48.88671875" customWidth="1" style="134" min="1" max="1"/>
    <col width="13" customWidth="1" style="134" min="2" max="2"/>
    <col width="12.5546875" bestFit="1" customWidth="1" style="134" min="3" max="3"/>
    <col width="12.44140625" customWidth="1" style="134" min="4" max="35"/>
    <col width="14" customWidth="1" style="134" min="36" max="36"/>
    <col width="14.77734375" customWidth="1" style="134" min="37" max="37"/>
    <col width="8.88671875" customWidth="1" style="134" min="38" max="43"/>
  </cols>
  <sheetData>
    <row r="1" ht="14.25" customHeight="1" s="134">
      <c r="A1" s="100" t="inlineStr">
        <is>
          <t>FLUJO DE CAJA SEMANAL — SEM 37 A SEM 52 DE 2026 y 2027</t>
        </is>
      </c>
    </row>
    <row r="2" ht="14.25" customHeight="1" s="134">
      <c r="A2" s="6" t="inlineStr">
        <is>
          <t>Fórmulas vivas: edite PARAMETROS para cambiar supuestos, o escriba un valor real directo en una celda de semana para reemplazar el estimado.</t>
        </is>
      </c>
    </row>
    <row r="3" ht="14.25" customHeight="1" s="134"/>
    <row r="4" ht="14.25" customHeight="1" s="134">
      <c r="A4" s="9" t="inlineStr">
        <is>
          <t>CONCEPTO</t>
        </is>
      </c>
      <c r="B4" s="9" t="inlineStr">
        <is>
          <t>TOTAL / META</t>
        </is>
      </c>
      <c r="C4" s="69" t="inlineStr">
        <is>
          <t>SALDO INICIAL</t>
        </is>
      </c>
      <c r="D4" s="9" t="inlineStr">
        <is>
          <t>SEM 37</t>
        </is>
      </c>
      <c r="E4" s="9" t="inlineStr">
        <is>
          <t>SEM 38</t>
        </is>
      </c>
      <c r="F4" s="9" t="inlineStr">
        <is>
          <t>SEM 39</t>
        </is>
      </c>
      <c r="G4" s="9" t="inlineStr">
        <is>
          <t>SEM 40</t>
        </is>
      </c>
      <c r="H4" s="9" t="inlineStr">
        <is>
          <t>SEM 41</t>
        </is>
      </c>
      <c r="I4" s="9" t="inlineStr">
        <is>
          <t>SEM 42</t>
        </is>
      </c>
      <c r="J4" s="9" t="inlineStr">
        <is>
          <t>SEM 43</t>
        </is>
      </c>
      <c r="K4" s="9" t="inlineStr">
        <is>
          <t>SEM 44</t>
        </is>
      </c>
      <c r="L4" s="9" t="inlineStr">
        <is>
          <t>SEM 45</t>
        </is>
      </c>
      <c r="M4" s="9" t="inlineStr">
        <is>
          <t>SEM 46</t>
        </is>
      </c>
      <c r="N4" s="9" t="inlineStr">
        <is>
          <t>SEM 47</t>
        </is>
      </c>
      <c r="O4" s="9" t="inlineStr">
        <is>
          <t>SEM 48</t>
        </is>
      </c>
      <c r="P4" s="9" t="inlineStr">
        <is>
          <t>SEM 49</t>
        </is>
      </c>
      <c r="Q4" s="9" t="inlineStr">
        <is>
          <t>SEM 50</t>
        </is>
      </c>
      <c r="R4" s="9" t="inlineStr">
        <is>
          <t>SEM 51</t>
        </is>
      </c>
      <c r="S4" s="9" t="inlineStr">
        <is>
          <t>SEM 52</t>
        </is>
      </c>
      <c r="T4" s="69" t="inlineStr">
        <is>
          <t>SEM 1</t>
        </is>
      </c>
      <c r="U4" s="69" t="inlineStr">
        <is>
          <t>SEM 2</t>
        </is>
      </c>
      <c r="V4" s="69" t="inlineStr">
        <is>
          <t>SEM 3</t>
        </is>
      </c>
      <c r="W4" s="69" t="inlineStr">
        <is>
          <t>SEM 4</t>
        </is>
      </c>
      <c r="X4" s="69" t="inlineStr">
        <is>
          <t>SEM 5</t>
        </is>
      </c>
      <c r="Y4" s="69" t="inlineStr">
        <is>
          <t>SEM 6</t>
        </is>
      </c>
      <c r="Z4" s="69" t="inlineStr">
        <is>
          <t>SEM 7</t>
        </is>
      </c>
      <c r="AA4" s="69" t="inlineStr">
        <is>
          <t>SEM 8</t>
        </is>
      </c>
      <c r="AB4" s="69" t="inlineStr">
        <is>
          <t>SEM 9</t>
        </is>
      </c>
      <c r="AC4" s="69" t="inlineStr">
        <is>
          <t>SEM 10</t>
        </is>
      </c>
      <c r="AD4" s="69" t="inlineStr">
        <is>
          <t>SEM 11</t>
        </is>
      </c>
      <c r="AE4" s="69" t="inlineStr">
        <is>
          <t>SEM 12</t>
        </is>
      </c>
      <c r="AF4" s="69" t="inlineStr">
        <is>
          <t>SEM 13</t>
        </is>
      </c>
      <c r="AG4" s="69" t="inlineStr">
        <is>
          <t>SEM 14</t>
        </is>
      </c>
      <c r="AH4" s="69" t="inlineStr">
        <is>
          <t>SEM 15</t>
        </is>
      </c>
      <c r="AI4" s="69" t="inlineStr">
        <is>
          <t>SEM 16</t>
        </is>
      </c>
      <c r="AJ4" s="9" t="inlineStr">
        <is>
          <t>TOTAL
PROGR.</t>
        </is>
      </c>
      <c r="AK4" s="9" t="inlineStr">
        <is>
          <t>DIFEREN-
CIA</t>
        </is>
      </c>
    </row>
    <row r="5" ht="29.4" customFormat="1" customHeight="1" s="104">
      <c r="A5" s="15" t="inlineStr">
        <is>
          <t>Semana del … al … (calendario)</t>
        </is>
      </c>
      <c r="B5" s="102" t="n"/>
      <c r="C5" s="102" t="n"/>
      <c r="D5" s="103" t="inlineStr">
        <is>
          <t>07-Sep / 13-Sep</t>
        </is>
      </c>
      <c r="E5" s="103" t="inlineStr">
        <is>
          <t>14-Sep / 20-Sep</t>
        </is>
      </c>
      <c r="F5" s="103" t="inlineStr">
        <is>
          <t>21-Sep / 27-Sep</t>
        </is>
      </c>
      <c r="G5" s="71" t="inlineStr">
        <is>
          <t>oct</t>
        </is>
      </c>
      <c r="H5" s="71" t="inlineStr">
        <is>
          <t>oct</t>
        </is>
      </c>
      <c r="I5" s="71" t="inlineStr">
        <is>
          <t>oct</t>
        </is>
      </c>
      <c r="J5" s="71" t="inlineStr">
        <is>
          <t>oct</t>
        </is>
      </c>
      <c r="K5" s="71" t="inlineStr">
        <is>
          <t>nov</t>
        </is>
      </c>
      <c r="L5" s="71" t="inlineStr">
        <is>
          <t>nov</t>
        </is>
      </c>
      <c r="M5" s="71" t="inlineStr">
        <is>
          <t>nov</t>
        </is>
      </c>
      <c r="N5" s="71" t="inlineStr">
        <is>
          <t>nov</t>
        </is>
      </c>
      <c r="O5" s="71" t="inlineStr">
        <is>
          <t>nov</t>
        </is>
      </c>
      <c r="P5" s="71" t="inlineStr">
        <is>
          <t>dic</t>
        </is>
      </c>
      <c r="Q5" s="71" t="inlineStr">
        <is>
          <t>dic</t>
        </is>
      </c>
      <c r="R5" s="71" t="inlineStr">
        <is>
          <t>dic</t>
        </is>
      </c>
      <c r="S5" s="71" t="inlineStr">
        <is>
          <t>dic</t>
        </is>
      </c>
      <c r="T5" s="71" t="inlineStr">
        <is>
          <t>ene</t>
        </is>
      </c>
      <c r="U5" s="71" t="inlineStr">
        <is>
          <t>ene</t>
        </is>
      </c>
      <c r="V5" s="71" t="inlineStr">
        <is>
          <t>ene</t>
        </is>
      </c>
      <c r="W5" s="71" t="inlineStr">
        <is>
          <t>ene</t>
        </is>
      </c>
      <c r="X5" s="71" t="inlineStr">
        <is>
          <t>feb</t>
        </is>
      </c>
      <c r="Y5" s="71" t="inlineStr">
        <is>
          <t>feb</t>
        </is>
      </c>
      <c r="Z5" s="71" t="inlineStr">
        <is>
          <t>feb</t>
        </is>
      </c>
      <c r="AA5" s="71" t="inlineStr">
        <is>
          <t>feb</t>
        </is>
      </c>
      <c r="AB5" s="71" t="inlineStr">
        <is>
          <t>mar</t>
        </is>
      </c>
      <c r="AC5" s="71" t="inlineStr">
        <is>
          <t>mar</t>
        </is>
      </c>
      <c r="AD5" s="71" t="inlineStr">
        <is>
          <t>mar</t>
        </is>
      </c>
      <c r="AE5" s="71" t="inlineStr">
        <is>
          <t>mar</t>
        </is>
      </c>
      <c r="AF5" s="71" t="inlineStr">
        <is>
          <t>abr</t>
        </is>
      </c>
      <c r="AG5" s="71" t="inlineStr">
        <is>
          <t>abr</t>
        </is>
      </c>
      <c r="AH5" s="71" t="inlineStr">
        <is>
          <t>abr</t>
        </is>
      </c>
      <c r="AI5" s="71" t="inlineStr">
        <is>
          <t>abr</t>
        </is>
      </c>
      <c r="AJ5" s="102" t="n"/>
      <c r="AK5" s="102" t="n"/>
      <c r="AL5" s="102" t="n"/>
      <c r="AM5" s="102" t="n"/>
      <c r="AN5" s="102" t="n"/>
      <c r="AO5" s="102" t="n"/>
      <c r="AP5" s="102" t="n"/>
      <c r="AQ5" s="102" t="n"/>
    </row>
    <row r="6" ht="14.25" customHeight="1" s="134">
      <c r="A6" s="24" t="inlineStr">
        <is>
          <t>SALDO INICIAL DE CAJA</t>
        </is>
      </c>
      <c r="B6" s="25" t="n"/>
      <c r="C6" s="25" t="n"/>
      <c r="D6" s="29">
        <f>PARAMETROS!$B$11</f>
        <v/>
      </c>
      <c r="E6" s="29">
        <f>D70</f>
        <v/>
      </c>
      <c r="F6" s="29">
        <f>E70</f>
        <v/>
      </c>
      <c r="G6" s="29">
        <f>F70</f>
        <v/>
      </c>
      <c r="H6" s="29">
        <f>G70</f>
        <v/>
      </c>
      <c r="I6" s="29">
        <f>H70</f>
        <v/>
      </c>
      <c r="J6" s="29">
        <f>I70</f>
        <v/>
      </c>
      <c r="K6" s="29">
        <f>J70</f>
        <v/>
      </c>
      <c r="L6" s="29">
        <f>K70</f>
        <v/>
      </c>
      <c r="M6" s="29">
        <f>L70</f>
        <v/>
      </c>
      <c r="N6" s="29">
        <f>M70</f>
        <v/>
      </c>
      <c r="O6" s="29">
        <f>N70</f>
        <v/>
      </c>
      <c r="P6" s="29">
        <f>O70</f>
        <v/>
      </c>
      <c r="Q6" s="29">
        <f>P70</f>
        <v/>
      </c>
      <c r="R6" s="29">
        <f>Q70</f>
        <v/>
      </c>
      <c r="S6" s="29">
        <f>R70</f>
        <v/>
      </c>
      <c r="T6" s="29">
        <f>S70</f>
        <v/>
      </c>
      <c r="U6" s="29">
        <f>T70</f>
        <v/>
      </c>
      <c r="V6" s="29">
        <f>U70</f>
        <v/>
      </c>
      <c r="W6" s="29">
        <f>V70</f>
        <v/>
      </c>
      <c r="X6" s="29">
        <f>W70</f>
        <v/>
      </c>
      <c r="Y6" s="29">
        <f>X70</f>
        <v/>
      </c>
      <c r="Z6" s="29">
        <f>Y70</f>
        <v/>
      </c>
      <c r="AA6" s="29">
        <f>Z70</f>
        <v/>
      </c>
      <c r="AB6" s="29">
        <f>AA70</f>
        <v/>
      </c>
      <c r="AC6" s="29">
        <f>AB70</f>
        <v/>
      </c>
      <c r="AD6" s="29">
        <f>AC70</f>
        <v/>
      </c>
      <c r="AE6" s="29">
        <f>AD70</f>
        <v/>
      </c>
      <c r="AF6" s="29">
        <f>AE70</f>
        <v/>
      </c>
      <c r="AG6" s="29">
        <f>AF70</f>
        <v/>
      </c>
      <c r="AH6" s="29">
        <f>AG70</f>
        <v/>
      </c>
      <c r="AI6" s="29">
        <f>AH70</f>
        <v/>
      </c>
    </row>
    <row r="7" ht="14.25" customHeight="1" s="134">
      <c r="A7" s="33" t="inlineStr">
        <is>
          <t>INGRESOS</t>
        </is>
      </c>
      <c r="B7" s="34" t="n"/>
      <c r="C7" s="66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  <c r="AK7" s="34" t="n"/>
    </row>
    <row r="8" ht="14.25" customHeight="1" s="134">
      <c r="A8" s="11" t="inlineStr">
        <is>
          <t>Ingreso operativo estimado (clientes)</t>
        </is>
      </c>
      <c r="B8" s="138" t="inlineStr">
        <is>
          <t>ver PARAMETROS</t>
        </is>
      </c>
      <c r="C8" s="138" t="n"/>
      <c r="D8" s="35" t="n">
        <v>24965.7</v>
      </c>
      <c r="E8" s="35" t="n">
        <v>22627.44</v>
      </c>
      <c r="F8" s="150" t="n">
        <v>14884.46</v>
      </c>
      <c r="G8" s="35">
        <f>PARAMETROS!$H$15</f>
        <v/>
      </c>
      <c r="H8" s="35">
        <f>PARAMETROS!$E$15</f>
        <v/>
      </c>
      <c r="I8" s="35">
        <f>PARAMETROS!$F$15</f>
        <v/>
      </c>
      <c r="J8" s="35">
        <f>PARAMETROS!$G$15</f>
        <v/>
      </c>
      <c r="K8" s="35">
        <f>PARAMETROS!$H$15</f>
        <v/>
      </c>
      <c r="L8" s="35">
        <f>PARAMETROS!$E$15</f>
        <v/>
      </c>
      <c r="M8" s="35">
        <f>PARAMETROS!$F$15</f>
        <v/>
      </c>
      <c r="N8" s="35">
        <f>PARAMETROS!$G$15</f>
        <v/>
      </c>
      <c r="O8" s="35">
        <f>PARAMETROS!$H$15</f>
        <v/>
      </c>
      <c r="P8" s="35">
        <f>PARAMETROS!$E$15</f>
        <v/>
      </c>
      <c r="Q8" s="35">
        <f>PARAMETROS!$F$15</f>
        <v/>
      </c>
      <c r="R8" s="35">
        <f>PARAMETROS!$G$15</f>
        <v/>
      </c>
      <c r="S8" s="35">
        <f>PARAMETROS!$H$15</f>
        <v/>
      </c>
      <c r="T8" s="35">
        <f>PARAMETROS!$E$15</f>
        <v/>
      </c>
      <c r="U8" s="35">
        <f>PARAMETROS!$F$15</f>
        <v/>
      </c>
      <c r="V8" s="35">
        <f>PARAMETROS!$G$15</f>
        <v/>
      </c>
      <c r="W8" s="35">
        <f>PARAMETROS!$H$15</f>
        <v/>
      </c>
      <c r="X8" s="35">
        <f>PARAMETROS!$E$15</f>
        <v/>
      </c>
      <c r="Y8" s="35">
        <f>PARAMETROS!$F$15</f>
        <v/>
      </c>
      <c r="Z8" s="35">
        <f>PARAMETROS!$G$15</f>
        <v/>
      </c>
      <c r="AA8" s="35">
        <f>PARAMETROS!$H$15</f>
        <v/>
      </c>
      <c r="AB8" s="35">
        <f>PARAMETROS!$E$15</f>
        <v/>
      </c>
      <c r="AC8" s="35">
        <f>PARAMETROS!$F$15</f>
        <v/>
      </c>
      <c r="AD8" s="35">
        <f>PARAMETROS!$G$15</f>
        <v/>
      </c>
      <c r="AE8" s="35">
        <f>PARAMETROS!$H$15</f>
        <v/>
      </c>
      <c r="AF8" s="35">
        <f>PARAMETROS!$E$15</f>
        <v/>
      </c>
      <c r="AG8" s="35">
        <f>PARAMETROS!$F$15</f>
        <v/>
      </c>
      <c r="AH8" s="35">
        <f>PARAMETROS!$G$15</f>
        <v/>
      </c>
      <c r="AI8" s="35">
        <f>PARAMETROS!$H$15</f>
        <v/>
      </c>
      <c r="AJ8" s="35">
        <f>SUM(D8:AI8)</f>
        <v/>
      </c>
    </row>
    <row r="9" ht="14.25" customHeight="1" s="134">
      <c r="A9" s="11" t="inlineStr">
        <is>
          <t>Aportes recibidos de Agroaéreo</t>
        </is>
      </c>
      <c r="C9" s="101" t="n">
        <v>30000</v>
      </c>
      <c r="D9" s="36" t="n">
        <v>0</v>
      </c>
      <c r="E9" s="36" t="n">
        <v>0</v>
      </c>
      <c r="F9" s="36" t="n">
        <v>0</v>
      </c>
      <c r="G9" s="36" t="n">
        <v>0</v>
      </c>
      <c r="H9" s="101" t="n">
        <v>30000</v>
      </c>
      <c r="I9" s="36" t="n">
        <v>0</v>
      </c>
      <c r="J9" s="36" t="n">
        <v>0</v>
      </c>
      <c r="K9" s="36" t="n">
        <v>0</v>
      </c>
      <c r="L9" s="36" t="n">
        <v>0</v>
      </c>
      <c r="M9" s="36" t="n">
        <v>0</v>
      </c>
      <c r="N9" s="36" t="n">
        <v>0</v>
      </c>
      <c r="O9" s="36" t="n">
        <v>0</v>
      </c>
      <c r="P9" s="77" t="n">
        <v>30000</v>
      </c>
      <c r="Q9" s="36" t="n">
        <v>0</v>
      </c>
      <c r="R9" s="36" t="n">
        <v>0</v>
      </c>
      <c r="S9" s="36" t="n">
        <v>0</v>
      </c>
      <c r="T9" s="36" t="n">
        <v>0</v>
      </c>
      <c r="U9" s="36" t="n">
        <v>0</v>
      </c>
      <c r="V9" s="36" t="n">
        <v>0</v>
      </c>
      <c r="W9" s="36" t="n">
        <v>0</v>
      </c>
      <c r="X9" s="77" t="n">
        <v>30000</v>
      </c>
      <c r="Y9" s="36" t="n">
        <v>0</v>
      </c>
      <c r="Z9" s="36" t="n">
        <v>0</v>
      </c>
      <c r="AA9" s="36" t="n">
        <v>0</v>
      </c>
      <c r="AB9" s="36" t="n">
        <v>0</v>
      </c>
      <c r="AC9" s="36" t="n">
        <v>0</v>
      </c>
      <c r="AD9" s="36" t="n">
        <v>0</v>
      </c>
      <c r="AE9" s="36" t="n">
        <v>0</v>
      </c>
      <c r="AF9" s="36" t="n">
        <v>0</v>
      </c>
      <c r="AG9" s="36" t="n">
        <v>0</v>
      </c>
      <c r="AH9" s="36" t="n">
        <v>0</v>
      </c>
      <c r="AI9" s="36" t="n">
        <v>0</v>
      </c>
      <c r="AJ9" s="35">
        <f>SUM(C9:AI9)</f>
        <v/>
      </c>
    </row>
    <row r="10" ht="14.25" customHeight="1" s="134">
      <c r="A10" s="11" t="inlineStr">
        <is>
          <t>Otros ingresos (ventas, reembolsos, etc.)</t>
        </is>
      </c>
      <c r="D10" s="36" t="n">
        <v>0</v>
      </c>
      <c r="E10" s="36" t="n">
        <v>0</v>
      </c>
      <c r="F10" s="77" t="n">
        <v>0</v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0</v>
      </c>
      <c r="L10" s="36" t="n">
        <v>0</v>
      </c>
      <c r="M10" s="36" t="n">
        <v>0</v>
      </c>
      <c r="N10" s="36" t="n">
        <v>0</v>
      </c>
      <c r="O10" s="36" t="n">
        <v>0</v>
      </c>
      <c r="P10" s="36" t="n">
        <v>0</v>
      </c>
      <c r="Q10" s="36" t="n">
        <v>0</v>
      </c>
      <c r="R10" s="36" t="n">
        <v>0</v>
      </c>
      <c r="S10" s="36" t="n">
        <v>0</v>
      </c>
      <c r="T10" s="36" t="n">
        <v>0</v>
      </c>
      <c r="U10" s="36">
        <f>420*4+900*4-900-270</f>
        <v/>
      </c>
      <c r="V10" s="36" t="n">
        <v>0</v>
      </c>
      <c r="W10" s="36" t="n">
        <v>0</v>
      </c>
      <c r="X10" s="36" t="n">
        <v>0</v>
      </c>
      <c r="Y10" s="36" t="n">
        <v>0</v>
      </c>
      <c r="Z10" s="36">
        <f>+U10</f>
        <v/>
      </c>
      <c r="AA10" s="36" t="n">
        <v>0</v>
      </c>
      <c r="AB10" s="36" t="n">
        <v>0</v>
      </c>
      <c r="AC10" s="36" t="n">
        <v>0</v>
      </c>
      <c r="AD10" s="36">
        <f>+Z10</f>
        <v/>
      </c>
      <c r="AE10" s="36" t="n">
        <v>0</v>
      </c>
      <c r="AF10" s="36" t="n">
        <v>0</v>
      </c>
      <c r="AG10" s="36">
        <f>+AD10</f>
        <v/>
      </c>
      <c r="AH10" s="36" t="n">
        <v>0</v>
      </c>
      <c r="AI10" s="36" t="n">
        <v>0</v>
      </c>
      <c r="AJ10" s="35">
        <f>SUM(D10:AI10)</f>
        <v/>
      </c>
    </row>
    <row r="11" ht="14.25" customHeight="1" s="134">
      <c r="A11" s="37" t="inlineStr">
        <is>
          <t>TOTAL INGRESOS</t>
        </is>
      </c>
      <c r="D11" s="38">
        <f>SUM(D8:D10)</f>
        <v/>
      </c>
      <c r="E11" s="38">
        <f>SUM(E8:E10)</f>
        <v/>
      </c>
      <c r="F11" s="38">
        <f>SUM(F8:F10)</f>
        <v/>
      </c>
      <c r="G11" s="38">
        <f>SUM(G8:G10)</f>
        <v/>
      </c>
      <c r="H11" s="38">
        <f>SUM(H8:H10)</f>
        <v/>
      </c>
      <c r="I11" s="38">
        <f>SUM(I8:I10)</f>
        <v/>
      </c>
      <c r="J11" s="38">
        <f>SUM(J8:J10)</f>
        <v/>
      </c>
      <c r="K11" s="38">
        <f>SUM(K8:K10)</f>
        <v/>
      </c>
      <c r="L11" s="38">
        <f>SUM(L8:L10)</f>
        <v/>
      </c>
      <c r="M11" s="38">
        <f>SUM(M8:M10)</f>
        <v/>
      </c>
      <c r="N11" s="38">
        <f>SUM(N8:N10)</f>
        <v/>
      </c>
      <c r="O11" s="38">
        <f>SUM(O8:O10)</f>
        <v/>
      </c>
      <c r="P11" s="38">
        <f>SUM(P8:P10)</f>
        <v/>
      </c>
      <c r="Q11" s="38">
        <f>SUM(Q8:Q10)</f>
        <v/>
      </c>
      <c r="R11" s="38">
        <f>SUM(R8:R10)</f>
        <v/>
      </c>
      <c r="S11" s="38">
        <f>SUM(S8:S10)</f>
        <v/>
      </c>
      <c r="T11" s="38">
        <f>SUM(T8:T10)</f>
        <v/>
      </c>
      <c r="U11" s="38">
        <f>SUM(U8:U10)</f>
        <v/>
      </c>
      <c r="V11" s="38">
        <f>SUM(V8:V10)</f>
        <v/>
      </c>
      <c r="W11" s="38">
        <f>SUM(W8:W10)</f>
        <v/>
      </c>
      <c r="X11" s="38">
        <f>SUM(X8:X10)</f>
        <v/>
      </c>
      <c r="Y11" s="38">
        <f>SUM(Y8:Y10)</f>
        <v/>
      </c>
      <c r="Z11" s="38">
        <f>SUM(Z8:Z10)</f>
        <v/>
      </c>
      <c r="AA11" s="38">
        <f>SUM(AA8:AA10)</f>
        <v/>
      </c>
      <c r="AB11" s="38">
        <f>SUM(AB8:AB10)</f>
        <v/>
      </c>
      <c r="AC11" s="38">
        <f>SUM(AC8:AC10)</f>
        <v/>
      </c>
      <c r="AD11" s="38">
        <f>SUM(AD8:AD10)</f>
        <v/>
      </c>
      <c r="AE11" s="38">
        <f>SUM(AE8:AE10)</f>
        <v/>
      </c>
      <c r="AF11" s="38">
        <f>SUM(AF8:AF10)</f>
        <v/>
      </c>
      <c r="AG11" s="38">
        <f>SUM(AG8:AG10)</f>
        <v/>
      </c>
      <c r="AH11" s="38">
        <f>SUM(AH8:AH10)</f>
        <v/>
      </c>
      <c r="AI11" s="38">
        <f>SUM(AI8:AI10)</f>
        <v/>
      </c>
      <c r="AJ11" s="38">
        <f>SUM(D11:AI11)</f>
        <v/>
      </c>
    </row>
    <row r="12" ht="14.25" customHeight="1" s="134">
      <c r="A12" s="33" t="inlineStr">
        <is>
          <t>EGRESOS FIJOS (operativos, administrativos, legales)</t>
        </is>
      </c>
      <c r="B12" s="34" t="n"/>
      <c r="C12" s="66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</row>
    <row r="13" ht="14.25" customHeight="1" s="134">
      <c r="A13" s="11" t="inlineStr">
        <is>
          <t>Gasto operativo y administrativo</t>
        </is>
      </c>
      <c r="D13" s="35" t="n">
        <v>0</v>
      </c>
      <c r="E13" s="35" t="n">
        <v>0</v>
      </c>
      <c r="F13" s="35" t="n">
        <v>0</v>
      </c>
      <c r="G13" s="35">
        <f>1555+100+100</f>
        <v/>
      </c>
      <c r="H13" s="35" t="n">
        <v>0</v>
      </c>
      <c r="I13" s="35" t="n">
        <v>0</v>
      </c>
      <c r="J13" s="35" t="n">
        <v>0</v>
      </c>
      <c r="K13" s="35">
        <f>1555+100+100</f>
        <v/>
      </c>
      <c r="L13" s="35" t="n">
        <v>0</v>
      </c>
      <c r="M13" s="35" t="n">
        <v>0</v>
      </c>
      <c r="N13" s="35" t="n">
        <v>0</v>
      </c>
      <c r="O13" s="35">
        <f>1555+100+100</f>
        <v/>
      </c>
      <c r="P13" s="35" t="n">
        <v>0</v>
      </c>
      <c r="Q13" s="35" t="n">
        <v>0</v>
      </c>
      <c r="R13" s="35" t="n">
        <v>0</v>
      </c>
      <c r="S13" s="35">
        <f>1555+100+100</f>
        <v/>
      </c>
      <c r="T13" s="35" t="n">
        <v>0</v>
      </c>
      <c r="U13" s="35" t="n">
        <v>0</v>
      </c>
      <c r="V13" s="35" t="n">
        <v>0</v>
      </c>
      <c r="W13" s="35">
        <f>1555+100+100</f>
        <v/>
      </c>
      <c r="X13" s="35" t="n">
        <v>0</v>
      </c>
      <c r="Y13" s="35" t="n">
        <v>0</v>
      </c>
      <c r="Z13" s="35" t="n">
        <v>0</v>
      </c>
      <c r="AA13" s="35">
        <f>1555+100+100</f>
        <v/>
      </c>
      <c r="AB13" s="35" t="n">
        <v>0</v>
      </c>
      <c r="AC13" s="35" t="n">
        <v>0</v>
      </c>
      <c r="AD13" s="35" t="n">
        <v>0</v>
      </c>
      <c r="AE13" s="35">
        <f>1555+100+100</f>
        <v/>
      </c>
      <c r="AF13" s="35" t="n">
        <v>0</v>
      </c>
      <c r="AG13" s="35" t="n">
        <v>0</v>
      </c>
      <c r="AH13" s="35" t="n">
        <v>0</v>
      </c>
      <c r="AI13" s="35">
        <f>1555+100+100</f>
        <v/>
      </c>
    </row>
    <row r="14" ht="14.25" customHeight="1" s="134">
      <c r="A14" s="11" t="inlineStr">
        <is>
          <t>Mantenimiento de bodegas en operación</t>
        </is>
      </c>
      <c r="B14" t="n">
        <v>45.59</v>
      </c>
      <c r="D14" s="35" t="n">
        <v>0</v>
      </c>
      <c r="E14" s="90">
        <f>462.31+164.26</f>
        <v/>
      </c>
      <c r="F14" s="35" t="n">
        <v>0</v>
      </c>
      <c r="G14" s="35" t="n">
        <v>0</v>
      </c>
      <c r="H14" s="35" t="n">
        <v>45.59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n">
        <v>0</v>
      </c>
      <c r="AH14" s="35" t="n">
        <v>0</v>
      </c>
      <c r="AI14" s="35" t="n">
        <v>0</v>
      </c>
    </row>
    <row r="15" ht="14.25" customHeight="1" s="134">
      <c r="A15" s="11" t="inlineStr">
        <is>
          <t>Impuestos, prediales y gastos bancarios</t>
        </is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0</v>
      </c>
      <c r="K15" s="35" t="n">
        <v>0</v>
      </c>
      <c r="L15" s="35" t="n">
        <v>0</v>
      </c>
      <c r="M15" s="35" t="n">
        <v>0</v>
      </c>
      <c r="N15" s="35" t="n">
        <v>0</v>
      </c>
      <c r="O15" s="35" t="n">
        <v>0</v>
      </c>
      <c r="P15" s="35" t="n">
        <v>0</v>
      </c>
      <c r="Q15" s="35" t="n">
        <v>0</v>
      </c>
      <c r="R15" s="35" t="n">
        <v>0</v>
      </c>
      <c r="S15" s="35" t="n">
        <v>0</v>
      </c>
      <c r="T15" s="35" t="n">
        <v>0</v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n">
        <v>0</v>
      </c>
      <c r="AE15" s="35" t="n">
        <v>0</v>
      </c>
      <c r="AF15" s="35" t="n">
        <v>0</v>
      </c>
      <c r="AG15" s="35" t="n">
        <v>0</v>
      </c>
      <c r="AH15" s="35" t="n">
        <v>0</v>
      </c>
      <c r="AI15" s="35" t="n">
        <v>0</v>
      </c>
    </row>
    <row r="16" ht="14.25" customHeight="1" s="134">
      <c r="A16" s="11" t="inlineStr">
        <is>
          <t>Servicio de deuda — Cooperativa La Nuestra</t>
        </is>
      </c>
      <c r="D16" s="35" t="n">
        <v>0</v>
      </c>
      <c r="E16" s="90" t="n">
        <v>1094</v>
      </c>
      <c r="F16" s="35" t="n">
        <v>0</v>
      </c>
      <c r="G16" s="35" t="n">
        <v>0</v>
      </c>
      <c r="H16" s="35" t="n">
        <v>0</v>
      </c>
      <c r="I16" s="35" t="n">
        <v>1045</v>
      </c>
      <c r="J16" s="35" t="n">
        <v>0</v>
      </c>
      <c r="K16" s="35" t="n">
        <v>0</v>
      </c>
      <c r="L16" s="35" t="n">
        <v>0</v>
      </c>
      <c r="M16" s="35" t="n">
        <v>1045</v>
      </c>
      <c r="N16" s="35" t="n">
        <v>0</v>
      </c>
      <c r="O16" s="35" t="n">
        <v>0</v>
      </c>
      <c r="P16" s="35" t="n">
        <v>0</v>
      </c>
      <c r="Q16" s="35" t="n">
        <v>1045</v>
      </c>
      <c r="R16" s="35" t="n">
        <v>0</v>
      </c>
      <c r="S16" s="35" t="n">
        <v>0</v>
      </c>
      <c r="T16" s="35" t="n">
        <v>0</v>
      </c>
      <c r="U16" s="35" t="n">
        <v>1045</v>
      </c>
      <c r="V16" s="35" t="n">
        <v>0</v>
      </c>
      <c r="W16" s="35" t="n">
        <v>0</v>
      </c>
      <c r="X16" s="35" t="n">
        <v>0</v>
      </c>
      <c r="Y16" s="35" t="n">
        <v>1045</v>
      </c>
      <c r="Z16" s="35" t="n">
        <v>0</v>
      </c>
      <c r="AA16" s="35" t="n">
        <v>0</v>
      </c>
      <c r="AB16" s="35" t="n">
        <v>0</v>
      </c>
      <c r="AC16" s="35" t="n">
        <v>1045</v>
      </c>
      <c r="AD16" s="35" t="n">
        <v>0</v>
      </c>
      <c r="AE16" s="35" t="n">
        <v>0</v>
      </c>
      <c r="AF16" s="35" t="n">
        <v>0</v>
      </c>
      <c r="AG16" s="35" t="n">
        <v>1045</v>
      </c>
      <c r="AH16" s="35" t="n">
        <v>0</v>
      </c>
      <c r="AI16" s="35" t="n">
        <v>0</v>
      </c>
    </row>
    <row r="17" ht="14.25" customHeight="1" s="134">
      <c r="A17" s="11" t="inlineStr">
        <is>
          <t>Estudios, planos y levantamientos</t>
        </is>
      </c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0</v>
      </c>
      <c r="R17" s="35" t="n">
        <v>0</v>
      </c>
      <c r="S17" s="35" t="n">
        <v>0</v>
      </c>
      <c r="T17" s="35" t="n">
        <v>0</v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5" t="n">
        <v>0</v>
      </c>
      <c r="AE17" s="35" t="n">
        <v>0</v>
      </c>
      <c r="AF17" s="35" t="n">
        <v>0</v>
      </c>
      <c r="AG17" s="35" t="n">
        <v>0</v>
      </c>
      <c r="AH17" s="35" t="n">
        <v>0</v>
      </c>
      <c r="AI17" s="35" t="n">
        <v>0</v>
      </c>
    </row>
    <row r="18" ht="14.25" customHeight="1" s="134">
      <c r="A18" s="11" t="inlineStr">
        <is>
          <t>Retiros de socios / gasto societario y legal (normalizado)</t>
        </is>
      </c>
      <c r="D18" s="35" t="n">
        <v>0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0</v>
      </c>
      <c r="L18" s="35" t="n">
        <v>0</v>
      </c>
      <c r="M18" s="35" t="n">
        <v>0</v>
      </c>
      <c r="N18" s="35" t="n">
        <v>0</v>
      </c>
      <c r="O18" s="35" t="n">
        <v>0</v>
      </c>
      <c r="P18" s="35" t="n">
        <v>0</v>
      </c>
      <c r="Q18" s="35" t="n">
        <v>0</v>
      </c>
      <c r="R18" s="35" t="n">
        <v>0</v>
      </c>
      <c r="S18" s="35" t="n">
        <v>0</v>
      </c>
      <c r="T18" s="35" t="n">
        <v>0</v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5" t="n">
        <v>0</v>
      </c>
      <c r="AE18" s="35" t="n">
        <v>0</v>
      </c>
      <c r="AF18" s="35" t="n">
        <v>0</v>
      </c>
      <c r="AG18" s="35" t="n">
        <v>0</v>
      </c>
      <c r="AH18" s="35" t="n">
        <v>0</v>
      </c>
      <c r="AI18" s="35" t="n">
        <v>0</v>
      </c>
    </row>
    <row r="19" ht="14.25" customHeight="1" s="134">
      <c r="A19" s="39" t="inlineStr">
        <is>
          <t xml:space="preserve">Alicuotas </t>
        </is>
      </c>
      <c r="D19" s="35" t="n">
        <v>624.59</v>
      </c>
      <c r="E19" s="35" t="n">
        <v>0</v>
      </c>
      <c r="F19" s="35" t="n">
        <v>0</v>
      </c>
      <c r="G19" s="35" t="n">
        <v>0</v>
      </c>
      <c r="H19" s="35" t="n">
        <v>624.59</v>
      </c>
      <c r="I19" s="35" t="n">
        <v>0</v>
      </c>
      <c r="J19" s="35" t="n">
        <v>0</v>
      </c>
      <c r="K19" s="35" t="n">
        <v>0</v>
      </c>
      <c r="L19" s="35" t="n">
        <v>624.59</v>
      </c>
      <c r="M19" s="35" t="n">
        <v>0</v>
      </c>
      <c r="N19" s="35" t="n">
        <v>0</v>
      </c>
      <c r="O19" s="35" t="n">
        <v>0</v>
      </c>
      <c r="P19" s="35" t="n">
        <v>624.59</v>
      </c>
      <c r="Q19" s="35" t="n">
        <v>0</v>
      </c>
      <c r="R19" s="35" t="n">
        <v>0</v>
      </c>
      <c r="S19" s="35" t="n">
        <v>0</v>
      </c>
      <c r="T19" s="35" t="n">
        <v>624.59</v>
      </c>
      <c r="U19" s="35" t="n">
        <v>0</v>
      </c>
      <c r="V19" s="35" t="n">
        <v>0</v>
      </c>
      <c r="W19" s="35" t="n">
        <v>0</v>
      </c>
      <c r="X19" s="35" t="n">
        <v>624.59</v>
      </c>
      <c r="Y19" s="35" t="n">
        <v>0</v>
      </c>
      <c r="Z19" s="35" t="n">
        <v>0</v>
      </c>
      <c r="AA19" s="35" t="n">
        <v>0</v>
      </c>
      <c r="AB19" s="35" t="n">
        <v>624.59</v>
      </c>
      <c r="AC19" s="35" t="n">
        <v>0</v>
      </c>
      <c r="AD19" s="35" t="n">
        <v>0</v>
      </c>
      <c r="AE19" s="35" t="n">
        <v>0</v>
      </c>
      <c r="AF19" s="35" t="n">
        <v>624.59</v>
      </c>
      <c r="AG19" s="35" t="n">
        <v>0</v>
      </c>
      <c r="AH19" s="35" t="n">
        <v>0</v>
      </c>
      <c r="AI19" s="35" t="n">
        <v>0</v>
      </c>
    </row>
    <row r="20" ht="14.25" customHeight="1" s="134">
      <c r="A20" s="39" t="inlineStr">
        <is>
          <t>Consumo de Energia Electrica</t>
        </is>
      </c>
      <c r="D20" s="35" t="n">
        <v>125.88</v>
      </c>
      <c r="E20" s="90" t="n">
        <v>16.05</v>
      </c>
      <c r="F20" s="35" t="n">
        <v>0</v>
      </c>
      <c r="G20" s="35" t="n">
        <v>0</v>
      </c>
      <c r="H20" s="35" t="n">
        <v>0</v>
      </c>
      <c r="I20" s="35" t="n">
        <v>0</v>
      </c>
      <c r="J20" s="35" t="n">
        <v>0</v>
      </c>
      <c r="K20" s="35" t="n">
        <v>0</v>
      </c>
      <c r="L20" s="35" t="n">
        <v>0</v>
      </c>
      <c r="M20" s="35" t="n">
        <v>0</v>
      </c>
      <c r="N20" s="35" t="n">
        <v>0</v>
      </c>
      <c r="O20" s="35" t="n">
        <v>0</v>
      </c>
      <c r="P20" s="35" t="n">
        <v>0</v>
      </c>
      <c r="Q20" s="35" t="n">
        <v>0</v>
      </c>
      <c r="R20" s="35" t="n">
        <v>0</v>
      </c>
      <c r="S20" s="35" t="n">
        <v>0</v>
      </c>
      <c r="T20" s="35" t="n">
        <v>0</v>
      </c>
      <c r="U20" s="35" t="n">
        <v>0</v>
      </c>
      <c r="V20" s="35" t="n">
        <v>0</v>
      </c>
      <c r="W20" s="35" t="n">
        <v>0</v>
      </c>
      <c r="X20" s="35" t="n">
        <v>0</v>
      </c>
      <c r="Y20" s="35" t="n">
        <v>0</v>
      </c>
      <c r="Z20" s="35" t="n">
        <v>0</v>
      </c>
      <c r="AA20" s="35" t="n">
        <v>0</v>
      </c>
      <c r="AB20" s="35" t="n">
        <v>0</v>
      </c>
      <c r="AC20" s="35" t="n">
        <v>0</v>
      </c>
      <c r="AD20" s="35" t="n">
        <v>0</v>
      </c>
      <c r="AE20" s="35" t="n">
        <v>0</v>
      </c>
      <c r="AF20" s="35" t="n">
        <v>0</v>
      </c>
      <c r="AG20" s="35" t="n">
        <v>0</v>
      </c>
      <c r="AH20" s="35" t="n">
        <v>0</v>
      </c>
      <c r="AI20" s="35" t="n">
        <v>0</v>
      </c>
    </row>
    <row r="21" ht="14.25" customHeight="1" s="134">
      <c r="A21" s="92" t="inlineStr">
        <is>
          <t>SUBTOTAL EGRESOS FIJOS    (costo unitario m2)</t>
        </is>
      </c>
      <c r="D21" s="38">
        <f>SUM(D13:D20)</f>
        <v/>
      </c>
      <c r="E21" s="38">
        <f>SUM(E13:E20)</f>
        <v/>
      </c>
      <c r="F21" s="38">
        <f>SUM(F13:F20)</f>
        <v/>
      </c>
      <c r="G21" s="38">
        <f>SUM(G13:G20)</f>
        <v/>
      </c>
      <c r="H21" s="38">
        <f>SUM(H13:H20)</f>
        <v/>
      </c>
      <c r="I21" s="38">
        <f>SUM(I13:I20)</f>
        <v/>
      </c>
      <c r="J21" s="38">
        <f>SUM(J13:J20)</f>
        <v/>
      </c>
      <c r="K21" s="38">
        <f>SUM(K13:K20)</f>
        <v/>
      </c>
      <c r="L21" s="38">
        <f>SUM(L13:L20)</f>
        <v/>
      </c>
      <c r="M21" s="38">
        <f>SUM(M13:M20)</f>
        <v/>
      </c>
      <c r="N21" s="38">
        <f>SUM(N13:N20)</f>
        <v/>
      </c>
      <c r="O21" s="38">
        <f>SUM(O13:O20)</f>
        <v/>
      </c>
      <c r="P21" s="38">
        <f>SUM(P13:P20)</f>
        <v/>
      </c>
      <c r="Q21" s="38">
        <f>SUM(Q13:Q20)</f>
        <v/>
      </c>
      <c r="R21" s="38">
        <f>SUM(R13:R20)</f>
        <v/>
      </c>
      <c r="S21" s="38">
        <f>SUM(S13:S20)</f>
        <v/>
      </c>
      <c r="T21" s="38">
        <f>SUM(T13:T20)</f>
        <v/>
      </c>
      <c r="U21" s="38">
        <f>SUM(U13:U20)</f>
        <v/>
      </c>
      <c r="V21" s="38">
        <f>SUM(V13:V20)</f>
        <v/>
      </c>
      <c r="W21" s="38">
        <f>SUM(W13:W20)</f>
        <v/>
      </c>
      <c r="X21" s="38">
        <f>SUM(X13:X20)</f>
        <v/>
      </c>
      <c r="Y21" s="38">
        <f>SUM(Y13:Y20)</f>
        <v/>
      </c>
      <c r="Z21" s="38">
        <f>SUM(Z13:Z20)</f>
        <v/>
      </c>
      <c r="AA21" s="38">
        <f>SUM(AA13:AA20)</f>
        <v/>
      </c>
      <c r="AB21" s="38">
        <f>SUM(AB13:AB20)</f>
        <v/>
      </c>
      <c r="AC21" s="38">
        <f>SUM(AC13:AC20)</f>
        <v/>
      </c>
      <c r="AD21" s="38">
        <f>SUM(AD13:AD20)</f>
        <v/>
      </c>
      <c r="AE21" s="38">
        <f>SUM(AE13:AE20)</f>
        <v/>
      </c>
      <c r="AF21" s="38">
        <f>SUM(AF13:AF20)</f>
        <v/>
      </c>
      <c r="AG21" s="38">
        <f>SUM(AG13:AG20)</f>
        <v/>
      </c>
      <c r="AH21" s="38">
        <f>SUM(AH13:AH20)</f>
        <v/>
      </c>
      <c r="AI21" s="38">
        <f>SUM(AI13:AI20)</f>
        <v/>
      </c>
    </row>
    <row r="22" ht="14.25" customHeight="1" s="134">
      <c r="A22" s="33" t="inlineStr">
        <is>
          <t>EGRESOS DE OBRA / CONSTRUCCIÓN — valores sugeridos al ritmo de $10.000/sem; reprograme según pagos reales</t>
        </is>
      </c>
      <c r="B22" s="34" t="n"/>
      <c r="C22" s="66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</row>
    <row r="23" ht="14.25" customHeight="1" s="134">
      <c r="A23" s="80" t="inlineStr">
        <is>
          <t xml:space="preserve"> Tapia (Mano de Obra estructura 1300mtrs) Bod. 16-17</t>
        </is>
      </c>
      <c r="B23" s="35" t="n">
        <v>24440</v>
      </c>
      <c r="C23" s="79" t="n">
        <v>21656</v>
      </c>
      <c r="D23" s="35" t="n">
        <v>2050.8</v>
      </c>
      <c r="E23" s="35" t="n">
        <v>0</v>
      </c>
      <c r="F23" s="35" t="n">
        <v>0</v>
      </c>
      <c r="G23" s="35" t="n">
        <v>0</v>
      </c>
      <c r="H23" s="35" t="n">
        <v>0</v>
      </c>
      <c r="I23" s="35" t="n">
        <v>0</v>
      </c>
      <c r="J23" s="35" t="n">
        <v>0</v>
      </c>
      <c r="K23" s="35" t="n">
        <v>0</v>
      </c>
      <c r="L23" s="35" t="n">
        <v>0</v>
      </c>
      <c r="M23" s="35" t="n">
        <v>0</v>
      </c>
      <c r="N23" s="35" t="n">
        <v>0</v>
      </c>
      <c r="O23" s="35" t="n">
        <v>0</v>
      </c>
      <c r="P23" s="35" t="n">
        <v>0</v>
      </c>
      <c r="Q23" s="35" t="n">
        <v>0</v>
      </c>
      <c r="R23" s="35" t="n">
        <v>0</v>
      </c>
      <c r="S23" s="35" t="n">
        <v>0</v>
      </c>
      <c r="T23" s="35" t="n">
        <v>0</v>
      </c>
      <c r="U23" s="35" t="n">
        <v>0</v>
      </c>
      <c r="V23" s="35" t="n">
        <v>0</v>
      </c>
      <c r="W23" s="35" t="n">
        <v>0</v>
      </c>
      <c r="X23" s="35" t="n">
        <v>0</v>
      </c>
      <c r="Y23" s="35" t="n">
        <v>0</v>
      </c>
      <c r="Z23" s="35" t="n">
        <v>0</v>
      </c>
      <c r="AA23" s="35" t="n">
        <v>0</v>
      </c>
      <c r="AB23" s="35" t="n">
        <v>0</v>
      </c>
      <c r="AC23" s="35" t="n">
        <v>0</v>
      </c>
      <c r="AD23" s="35" t="n">
        <v>0</v>
      </c>
      <c r="AE23" s="35" t="n">
        <v>0</v>
      </c>
      <c r="AF23" s="35" t="n">
        <v>0</v>
      </c>
      <c r="AG23" s="35" t="n">
        <v>0</v>
      </c>
      <c r="AH23" s="35" t="n">
        <v>0</v>
      </c>
      <c r="AI23" s="35" t="n">
        <v>0</v>
      </c>
      <c r="AJ23" s="35">
        <f>SUM(C23:AI23)</f>
        <v/>
      </c>
      <c r="AK23" s="35">
        <f>B23-AJ23</f>
        <v/>
      </c>
    </row>
    <row r="24" ht="14.25" customHeight="1" s="134">
      <c r="A24" s="80" t="inlineStr">
        <is>
          <t xml:space="preserve"> Tapia (Materiales estructura 1300mtrs) Bod. 16-17</t>
        </is>
      </c>
      <c r="B24" s="35" t="n">
        <v>38379.2</v>
      </c>
      <c r="C24" s="79" t="n">
        <v>38379.2</v>
      </c>
      <c r="D24" s="35" t="n">
        <v>0</v>
      </c>
      <c r="E24" s="35" t="n">
        <v>0</v>
      </c>
      <c r="F24" s="35" t="n">
        <v>0</v>
      </c>
      <c r="G24" s="35" t="n">
        <v>0</v>
      </c>
      <c r="H24" s="35" t="n">
        <v>0</v>
      </c>
      <c r="I24" s="35" t="n">
        <v>0</v>
      </c>
      <c r="J24" s="35" t="n">
        <v>0</v>
      </c>
      <c r="K24" s="35" t="n">
        <v>0</v>
      </c>
      <c r="L24" s="35" t="n">
        <v>0</v>
      </c>
      <c r="M24" s="35" t="n">
        <v>0</v>
      </c>
      <c r="N24" s="35" t="n">
        <v>0</v>
      </c>
      <c r="O24" s="35" t="n">
        <v>0</v>
      </c>
      <c r="P24" s="35" t="n">
        <v>0</v>
      </c>
      <c r="Q24" s="35" t="n">
        <v>0</v>
      </c>
      <c r="R24" s="35" t="n">
        <v>0</v>
      </c>
      <c r="S24" s="35" t="n">
        <v>0</v>
      </c>
      <c r="T24" s="35" t="n">
        <v>0</v>
      </c>
      <c r="U24" s="35" t="n">
        <v>0</v>
      </c>
      <c r="V24" s="35" t="n">
        <v>0</v>
      </c>
      <c r="W24" s="35" t="n">
        <v>0</v>
      </c>
      <c r="X24" s="35" t="n">
        <v>0</v>
      </c>
      <c r="Y24" s="35" t="n">
        <v>0</v>
      </c>
      <c r="Z24" s="35" t="n">
        <v>0</v>
      </c>
      <c r="AA24" s="35" t="n">
        <v>0</v>
      </c>
      <c r="AB24" s="35" t="n">
        <v>0</v>
      </c>
      <c r="AC24" s="35" t="n">
        <v>0</v>
      </c>
      <c r="AD24" s="35" t="n">
        <v>0</v>
      </c>
      <c r="AE24" s="35" t="n">
        <v>0</v>
      </c>
      <c r="AF24" s="35" t="n">
        <v>0</v>
      </c>
      <c r="AG24" s="35" t="n">
        <v>0</v>
      </c>
      <c r="AH24" s="35" t="n">
        <v>0</v>
      </c>
      <c r="AI24" s="35" t="n">
        <v>0</v>
      </c>
      <c r="AJ24" s="35">
        <f>SUM(C24:AI24)</f>
        <v/>
      </c>
      <c r="AK24" s="35">
        <f>B24-AJ24</f>
        <v/>
      </c>
    </row>
    <row r="25" ht="14.25" customHeight="1" s="134">
      <c r="A25" s="81" t="inlineStr">
        <is>
          <t xml:space="preserve"> Tapia (Mano de Obra y materiales 5 puertas corredizas) bod 1300m2</t>
        </is>
      </c>
      <c r="B25" s="70" t="n">
        <v>9000</v>
      </c>
      <c r="C25" s="35" t="n">
        <v>0</v>
      </c>
      <c r="D25" s="35" t="n">
        <v>2000</v>
      </c>
      <c r="E25" s="90" t="n">
        <v>3000</v>
      </c>
      <c r="F25" s="150" t="n">
        <v>1000</v>
      </c>
      <c r="G25" s="35" t="n">
        <v>1000</v>
      </c>
      <c r="H25" s="35" t="n">
        <v>1000</v>
      </c>
      <c r="I25" s="35" t="n">
        <v>1000</v>
      </c>
      <c r="J25" s="35" t="n">
        <v>1000</v>
      </c>
      <c r="K25" s="35" t="n">
        <v>1000</v>
      </c>
      <c r="L25" s="35" t="n">
        <v>0</v>
      </c>
      <c r="M25" s="35" t="n">
        <v>0</v>
      </c>
      <c r="N25" s="35" t="n">
        <v>0</v>
      </c>
      <c r="O25" s="35" t="n">
        <v>0</v>
      </c>
      <c r="P25" s="35" t="n">
        <v>0</v>
      </c>
      <c r="Q25" s="35" t="n">
        <v>0</v>
      </c>
      <c r="R25" s="35" t="n">
        <v>0</v>
      </c>
      <c r="S25" s="35" t="n">
        <v>0</v>
      </c>
      <c r="T25" s="35" t="n">
        <v>0</v>
      </c>
      <c r="U25" s="35" t="n">
        <v>0</v>
      </c>
      <c r="V25" s="35" t="n">
        <v>0</v>
      </c>
      <c r="W25" s="35" t="n">
        <v>0</v>
      </c>
      <c r="X25" s="35" t="n">
        <v>0</v>
      </c>
      <c r="Y25" s="35" t="n">
        <v>0</v>
      </c>
      <c r="Z25" s="35" t="n">
        <v>0</v>
      </c>
      <c r="AA25" s="35" t="n">
        <v>0</v>
      </c>
      <c r="AB25" s="35" t="n">
        <v>0</v>
      </c>
      <c r="AC25" s="35" t="n">
        <v>0</v>
      </c>
      <c r="AD25" s="35" t="n">
        <v>0</v>
      </c>
      <c r="AE25" s="35" t="n">
        <v>0</v>
      </c>
      <c r="AF25" s="35" t="n">
        <v>0</v>
      </c>
      <c r="AG25" s="35" t="n">
        <v>0</v>
      </c>
      <c r="AH25" s="35" t="n">
        <v>0</v>
      </c>
      <c r="AI25" s="35" t="n">
        <v>0</v>
      </c>
      <c r="AJ25" s="35">
        <f>SUM(C25:AI25)</f>
        <v/>
      </c>
      <c r="AK25" s="35">
        <f>B25-AJ25</f>
        <v/>
      </c>
    </row>
    <row r="26" ht="14.25" customHeight="1" s="134">
      <c r="A26" s="82" t="inlineStr">
        <is>
          <t xml:space="preserve"> Tapia (Mano de Obra pared metalica) bod 1300m2</t>
        </is>
      </c>
      <c r="B26" s="70" t="n">
        <v>4416</v>
      </c>
      <c r="C26" s="35" t="n">
        <v>0</v>
      </c>
      <c r="D26" s="35" t="n">
        <v>0</v>
      </c>
      <c r="E26" s="90" t="n">
        <v>1324.8</v>
      </c>
      <c r="F26" s="150" t="n">
        <v>2000</v>
      </c>
      <c r="G26" s="35" t="n">
        <v>1324.8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0</v>
      </c>
      <c r="O26" s="35" t="n">
        <v>0</v>
      </c>
      <c r="P26" s="35" t="n">
        <v>0</v>
      </c>
      <c r="Q26" s="35" t="n">
        <v>0</v>
      </c>
      <c r="R26" s="35" t="n">
        <v>0</v>
      </c>
      <c r="S26" s="35" t="n">
        <v>0</v>
      </c>
      <c r="T26" s="35" t="n">
        <v>0</v>
      </c>
      <c r="U26" s="35" t="n">
        <v>0</v>
      </c>
      <c r="V26" s="35" t="n">
        <v>0</v>
      </c>
      <c r="W26" s="35" t="n">
        <v>0</v>
      </c>
      <c r="X26" s="35" t="n">
        <v>0</v>
      </c>
      <c r="Y26" s="35" t="n">
        <v>0</v>
      </c>
      <c r="Z26" s="35" t="n">
        <v>0</v>
      </c>
      <c r="AA26" s="35" t="n">
        <v>0</v>
      </c>
      <c r="AB26" s="35" t="n">
        <v>0</v>
      </c>
      <c r="AC26" s="35" t="n">
        <v>0</v>
      </c>
      <c r="AD26" s="35" t="n">
        <v>0</v>
      </c>
      <c r="AE26" s="35" t="n">
        <v>0</v>
      </c>
      <c r="AF26" s="35" t="n">
        <v>0</v>
      </c>
      <c r="AG26" s="35" t="n">
        <v>0</v>
      </c>
      <c r="AH26" s="35" t="n">
        <v>0</v>
      </c>
      <c r="AI26" s="35" t="n">
        <v>0</v>
      </c>
      <c r="AJ26" s="35">
        <f>SUM(C26:AI26)</f>
        <v/>
      </c>
      <c r="AK26" s="35">
        <f>B26-AJ26</f>
        <v/>
      </c>
    </row>
    <row r="27" ht="14.25" customHeight="1" s="134">
      <c r="A27" s="82" t="inlineStr">
        <is>
          <t xml:space="preserve"> Tapia (Materiales pared metalica)</t>
        </is>
      </c>
      <c r="B27" s="70">
        <f>2485.014+777.95+47.78</f>
        <v/>
      </c>
      <c r="C27" s="35" t="n">
        <v>0</v>
      </c>
      <c r="D27" s="35" t="n">
        <v>2485.14</v>
      </c>
      <c r="E27" s="35" t="n">
        <v>0</v>
      </c>
      <c r="F27" s="150" t="n">
        <v>597.14</v>
      </c>
      <c r="G27" s="35" t="n">
        <v>0</v>
      </c>
      <c r="H27" s="88" t="n">
        <v>47.78</v>
      </c>
      <c r="I27" s="35" t="n">
        <v>764.42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0</v>
      </c>
      <c r="O27" s="35" t="n">
        <v>0</v>
      </c>
      <c r="P27" s="35" t="n">
        <v>0</v>
      </c>
      <c r="Q27" s="35" t="n">
        <v>0</v>
      </c>
      <c r="R27" s="35" t="n">
        <v>0</v>
      </c>
      <c r="S27" s="35" t="n">
        <v>0</v>
      </c>
      <c r="T27" s="35" t="n">
        <v>0</v>
      </c>
      <c r="U27" s="35" t="n">
        <v>0</v>
      </c>
      <c r="V27" s="35" t="n">
        <v>0</v>
      </c>
      <c r="W27" s="35" t="n">
        <v>0</v>
      </c>
      <c r="X27" s="35" t="n">
        <v>0</v>
      </c>
      <c r="Y27" s="35" t="n">
        <v>0</v>
      </c>
      <c r="Z27" s="35" t="n">
        <v>0</v>
      </c>
      <c r="AA27" s="35" t="n">
        <v>0</v>
      </c>
      <c r="AB27" s="35" t="n">
        <v>0</v>
      </c>
      <c r="AC27" s="35" t="n">
        <v>0</v>
      </c>
      <c r="AD27" s="35" t="n">
        <v>0</v>
      </c>
      <c r="AE27" s="35" t="n">
        <v>0</v>
      </c>
      <c r="AF27" s="35" t="n">
        <v>0</v>
      </c>
      <c r="AG27" s="35" t="n">
        <v>0</v>
      </c>
      <c r="AH27" s="35" t="n">
        <v>0</v>
      </c>
      <c r="AI27" s="35" t="n">
        <v>0</v>
      </c>
      <c r="AJ27" s="35">
        <f>SUM(C27:AI27)</f>
        <v/>
      </c>
      <c r="AK27" s="35">
        <f>B27-AJ27</f>
        <v/>
      </c>
    </row>
    <row r="28" ht="14.25" customHeight="1" s="134">
      <c r="A28" s="84" t="inlineStr">
        <is>
          <t xml:space="preserve"> Flores (Mano de Obra cimentación) Bod. 16-17 bod 1300m2</t>
        </is>
      </c>
      <c r="B28" s="70" t="n">
        <v>15346.8</v>
      </c>
      <c r="C28" s="35" t="n">
        <v>13993.9</v>
      </c>
      <c r="D28" s="35" t="n">
        <v>1352.43</v>
      </c>
      <c r="E28" s="35" t="n">
        <v>0</v>
      </c>
      <c r="F28" s="35" t="n">
        <v>0</v>
      </c>
      <c r="G28" s="35" t="n">
        <v>0</v>
      </c>
      <c r="H28" s="35" t="n">
        <v>0</v>
      </c>
      <c r="I28" s="35" t="n">
        <v>0</v>
      </c>
      <c r="J28" s="35" t="n">
        <v>0</v>
      </c>
      <c r="K28" s="35" t="n">
        <v>0</v>
      </c>
      <c r="L28" s="35" t="n">
        <v>0</v>
      </c>
      <c r="M28" s="35" t="n">
        <v>0</v>
      </c>
      <c r="N28" s="35" t="n">
        <v>0</v>
      </c>
      <c r="O28" s="35" t="n">
        <v>0</v>
      </c>
      <c r="P28" s="35" t="n">
        <v>0</v>
      </c>
      <c r="Q28" s="35" t="n">
        <v>0</v>
      </c>
      <c r="R28" s="35" t="n">
        <v>0</v>
      </c>
      <c r="S28" s="35" t="n">
        <v>0</v>
      </c>
      <c r="T28" s="35" t="n">
        <v>0</v>
      </c>
      <c r="U28" s="35" t="n">
        <v>0</v>
      </c>
      <c r="V28" s="35" t="n">
        <v>0</v>
      </c>
      <c r="W28" s="35" t="n">
        <v>0</v>
      </c>
      <c r="X28" s="35" t="n">
        <v>0</v>
      </c>
      <c r="Y28" s="35" t="n">
        <v>0</v>
      </c>
      <c r="Z28" s="35" t="n">
        <v>0</v>
      </c>
      <c r="AA28" s="35" t="n">
        <v>0</v>
      </c>
      <c r="AB28" s="35" t="n">
        <v>0</v>
      </c>
      <c r="AC28" s="35" t="n">
        <v>0</v>
      </c>
      <c r="AD28" s="35" t="n">
        <v>0</v>
      </c>
      <c r="AE28" s="35" t="n">
        <v>0</v>
      </c>
      <c r="AF28" s="35" t="n">
        <v>0</v>
      </c>
      <c r="AG28" s="35" t="n">
        <v>0</v>
      </c>
      <c r="AH28" s="35" t="n">
        <v>0</v>
      </c>
      <c r="AI28" s="35" t="n">
        <v>0</v>
      </c>
      <c r="AJ28" s="35">
        <f>SUM(C28:AI28)</f>
        <v/>
      </c>
      <c r="AK28" s="35">
        <f>B28-AJ28</f>
        <v/>
      </c>
    </row>
    <row r="29" ht="14.25" customHeight="1" s="134">
      <c r="A29" s="84" t="inlineStr">
        <is>
          <t xml:space="preserve"> Flores (Materiales cimentación) Bod. 16-17 bod 1300m2</t>
        </is>
      </c>
      <c r="B29" s="70" t="n">
        <v>26406.9</v>
      </c>
      <c r="C29" s="35" t="n">
        <v>26406.9</v>
      </c>
      <c r="D29" s="35" t="n">
        <v>0</v>
      </c>
      <c r="E29" s="35" t="n">
        <v>0</v>
      </c>
      <c r="F29" s="35" t="n">
        <v>0</v>
      </c>
      <c r="G29" s="35" t="n">
        <v>0</v>
      </c>
      <c r="H29" s="35" t="n">
        <v>0</v>
      </c>
      <c r="I29" s="35" t="n">
        <v>0</v>
      </c>
      <c r="J29" s="35" t="n">
        <v>0</v>
      </c>
      <c r="K29" s="35" t="n">
        <v>0</v>
      </c>
      <c r="L29" s="35" t="n">
        <v>0</v>
      </c>
      <c r="M29" s="35" t="n">
        <v>0</v>
      </c>
      <c r="N29" s="35" t="n">
        <v>0</v>
      </c>
      <c r="O29" s="35" t="n">
        <v>0</v>
      </c>
      <c r="P29" s="35" t="n">
        <v>0</v>
      </c>
      <c r="Q29" s="35" t="n">
        <v>0</v>
      </c>
      <c r="R29" s="35" t="n">
        <v>0</v>
      </c>
      <c r="S29" s="35" t="n">
        <v>0</v>
      </c>
      <c r="T29" s="35" t="n">
        <v>0</v>
      </c>
      <c r="U29" s="35" t="n">
        <v>0</v>
      </c>
      <c r="V29" s="35" t="n">
        <v>0</v>
      </c>
      <c r="W29" s="35" t="n">
        <v>0</v>
      </c>
      <c r="X29" s="35" t="n">
        <v>0</v>
      </c>
      <c r="Y29" s="35" t="n">
        <v>0</v>
      </c>
      <c r="Z29" s="35" t="n">
        <v>0</v>
      </c>
      <c r="AA29" s="35" t="n">
        <v>0</v>
      </c>
      <c r="AB29" s="35" t="n">
        <v>0</v>
      </c>
      <c r="AC29" s="35" t="n">
        <v>0</v>
      </c>
      <c r="AD29" s="35" t="n">
        <v>0</v>
      </c>
      <c r="AE29" s="35" t="n">
        <v>0</v>
      </c>
      <c r="AF29" s="35" t="n">
        <v>0</v>
      </c>
      <c r="AG29" s="35" t="n">
        <v>0</v>
      </c>
      <c r="AH29" s="35" t="n">
        <v>0</v>
      </c>
      <c r="AI29" s="35" t="n">
        <v>0</v>
      </c>
      <c r="AJ29" s="35">
        <f>SUM(C29:AI29)</f>
        <v/>
      </c>
      <c r="AK29" s="35">
        <f>B29-AJ29</f>
        <v/>
      </c>
    </row>
    <row r="30" ht="14.25" customHeight="1" s="134">
      <c r="A30" s="85" t="inlineStr">
        <is>
          <t xml:space="preserve"> Flores (Mano de Obra piso, emblocado) bod 1300m2</t>
        </is>
      </c>
      <c r="B30" s="70" t="n">
        <v>13788.77</v>
      </c>
      <c r="C30" s="35" t="n">
        <v>4136.63</v>
      </c>
      <c r="D30" s="35" t="n">
        <v>0</v>
      </c>
      <c r="E30" s="90" t="n">
        <v>5515.51</v>
      </c>
      <c r="F30" s="35" t="n">
        <v>0</v>
      </c>
      <c r="G30" s="35" t="n">
        <v>4136.63</v>
      </c>
      <c r="H30" s="35" t="n">
        <v>0</v>
      </c>
      <c r="I30" s="35" t="n">
        <v>0</v>
      </c>
      <c r="J30" s="35" t="n">
        <v>1197.89</v>
      </c>
      <c r="K30" s="35" t="n">
        <v>0</v>
      </c>
      <c r="L30" s="35" t="n">
        <v>0</v>
      </c>
      <c r="M30" s="35" t="n">
        <v>0</v>
      </c>
      <c r="N30" s="35" t="n">
        <v>0</v>
      </c>
      <c r="O30" s="35" t="n">
        <v>0</v>
      </c>
      <c r="P30" s="35" t="n">
        <v>0</v>
      </c>
      <c r="Q30" s="35" t="n">
        <v>0</v>
      </c>
      <c r="R30" s="35" t="n">
        <v>0</v>
      </c>
      <c r="S30" s="35" t="n">
        <v>0</v>
      </c>
      <c r="T30" s="35" t="n">
        <v>0</v>
      </c>
      <c r="U30" s="35" t="n">
        <v>0</v>
      </c>
      <c r="V30" s="35" t="n">
        <v>0</v>
      </c>
      <c r="W30" s="35" t="n">
        <v>0</v>
      </c>
      <c r="X30" s="35" t="n">
        <v>0</v>
      </c>
      <c r="Y30" s="35" t="n">
        <v>0</v>
      </c>
      <c r="Z30" s="35" t="n">
        <v>0</v>
      </c>
      <c r="AA30" s="35" t="n">
        <v>0</v>
      </c>
      <c r="AB30" s="35" t="n">
        <v>0</v>
      </c>
      <c r="AC30" s="35" t="n">
        <v>0</v>
      </c>
      <c r="AD30" s="35" t="n">
        <v>0</v>
      </c>
      <c r="AE30" s="35" t="n">
        <v>0</v>
      </c>
      <c r="AF30" s="35" t="n">
        <v>0</v>
      </c>
      <c r="AG30" s="35" t="n">
        <v>0</v>
      </c>
      <c r="AH30" s="35" t="n">
        <v>0</v>
      </c>
      <c r="AI30" s="35" t="n">
        <v>0</v>
      </c>
      <c r="AJ30" s="35">
        <f>SUM(C30:AI30)</f>
        <v/>
      </c>
      <c r="AK30" s="35">
        <f>B30-AJ30</f>
        <v/>
      </c>
    </row>
    <row r="31" ht="14.25" customHeight="1" s="134">
      <c r="A31" s="85" t="inlineStr">
        <is>
          <t xml:space="preserve"> Flores (Materiales piso, terminado) bod 1300m2</t>
        </is>
      </c>
      <c r="B31" s="113">
        <f>3114.96/4*3</f>
        <v/>
      </c>
      <c r="C31" s="35" t="n">
        <v>0</v>
      </c>
      <c r="D31" s="35" t="n">
        <v>0</v>
      </c>
      <c r="E31" s="35" t="n">
        <v>0</v>
      </c>
      <c r="F31" s="35" t="n">
        <v>0</v>
      </c>
      <c r="G31" s="35" t="n">
        <v>0</v>
      </c>
      <c r="H31" s="88" t="n">
        <v>2336.22</v>
      </c>
      <c r="I31" s="35" t="n">
        <v>0</v>
      </c>
      <c r="J31" s="35" t="n">
        <v>0</v>
      </c>
      <c r="K31" s="35" t="n">
        <v>0</v>
      </c>
      <c r="L31" s="35" t="n">
        <v>0</v>
      </c>
      <c r="M31" s="35" t="n">
        <v>0</v>
      </c>
      <c r="N31" s="35" t="n">
        <v>0</v>
      </c>
      <c r="O31" s="35" t="n">
        <v>0</v>
      </c>
      <c r="P31" s="35" t="n">
        <v>0</v>
      </c>
      <c r="Q31" s="35" t="n">
        <v>0</v>
      </c>
      <c r="R31" s="35" t="n">
        <v>0</v>
      </c>
      <c r="S31" s="35" t="n">
        <v>0</v>
      </c>
      <c r="T31" s="35" t="n">
        <v>0</v>
      </c>
      <c r="U31" s="35" t="n">
        <v>0</v>
      </c>
      <c r="V31" s="35" t="n">
        <v>0</v>
      </c>
      <c r="W31" s="35" t="n">
        <v>0</v>
      </c>
      <c r="X31" s="35" t="n">
        <v>0</v>
      </c>
      <c r="Y31" s="35" t="n">
        <v>0</v>
      </c>
      <c r="Z31" s="35" t="n">
        <v>0</v>
      </c>
      <c r="AA31" s="35" t="n">
        <v>0</v>
      </c>
      <c r="AB31" s="35" t="n">
        <v>0</v>
      </c>
      <c r="AC31" s="35" t="n">
        <v>0</v>
      </c>
      <c r="AD31" s="35" t="n">
        <v>0</v>
      </c>
      <c r="AE31" s="35" t="n">
        <v>0</v>
      </c>
      <c r="AF31" s="35" t="n">
        <v>0</v>
      </c>
      <c r="AG31" s="35" t="n">
        <v>0</v>
      </c>
      <c r="AH31" s="35" t="n">
        <v>0</v>
      </c>
      <c r="AI31" s="35" t="n">
        <v>0</v>
      </c>
      <c r="AJ31" s="35">
        <f>SUM(C31:AI31)</f>
        <v/>
      </c>
      <c r="AK31" s="35">
        <f>B31-AJ31</f>
        <v/>
      </c>
    </row>
    <row r="32" ht="14.25" customHeight="1" s="134">
      <c r="A32" s="82" t="inlineStr">
        <is>
          <t xml:space="preserve"> Flores (Mano de Obra pozo septico) bod 1300m2</t>
        </is>
      </c>
      <c r="B32" s="70" t="n">
        <v>1522.5</v>
      </c>
      <c r="C32" s="35" t="n">
        <v>761.25</v>
      </c>
      <c r="D32" s="35" t="n">
        <v>0</v>
      </c>
      <c r="E32" s="35" t="n">
        <v>0</v>
      </c>
      <c r="F32" s="35" t="n">
        <v>0</v>
      </c>
      <c r="G32" s="35" t="n">
        <v>0</v>
      </c>
      <c r="H32" s="35" t="n">
        <v>0</v>
      </c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  <c r="N32" s="35" t="n">
        <v>0</v>
      </c>
      <c r="O32" s="35" t="n">
        <v>0</v>
      </c>
      <c r="P32" s="35" t="n">
        <v>0</v>
      </c>
      <c r="Q32" s="35" t="n">
        <v>0</v>
      </c>
      <c r="R32" s="35" t="n">
        <v>0</v>
      </c>
      <c r="S32" s="35" t="n">
        <v>0</v>
      </c>
      <c r="T32" s="35" t="n">
        <v>0</v>
      </c>
      <c r="U32" s="35" t="n">
        <v>0</v>
      </c>
      <c r="V32" s="35" t="n">
        <v>0</v>
      </c>
      <c r="W32" s="35" t="n">
        <v>0</v>
      </c>
      <c r="X32" s="35" t="n">
        <v>0</v>
      </c>
      <c r="Y32" s="35" t="n">
        <v>0</v>
      </c>
      <c r="Z32" s="35" t="n">
        <v>0</v>
      </c>
      <c r="AA32" s="35" t="n">
        <v>0</v>
      </c>
      <c r="AB32" s="35" t="n">
        <v>0</v>
      </c>
      <c r="AC32" s="35" t="n">
        <v>0</v>
      </c>
      <c r="AD32" s="35" t="n">
        <v>0</v>
      </c>
      <c r="AE32" s="35" t="n">
        <v>0</v>
      </c>
      <c r="AF32" s="35" t="n">
        <v>0</v>
      </c>
      <c r="AG32" s="35" t="n">
        <v>0</v>
      </c>
      <c r="AH32" s="35" t="n">
        <v>0</v>
      </c>
      <c r="AI32" s="35" t="n">
        <v>0</v>
      </c>
      <c r="AJ32" s="35">
        <f>SUM(C32:AI32)</f>
        <v/>
      </c>
      <c r="AK32" s="35">
        <f>B32-AJ32</f>
        <v/>
      </c>
    </row>
    <row r="33" ht="14.25" customHeight="1" s="134">
      <c r="A33" s="82" t="inlineStr">
        <is>
          <t xml:space="preserve"> Flores (Materiales pozo septico) bod 1300m2</t>
        </is>
      </c>
      <c r="B33" s="70" t="n">
        <v>1773.57</v>
      </c>
      <c r="C33" s="35" t="n">
        <v>0</v>
      </c>
      <c r="D33" s="35" t="n">
        <v>0</v>
      </c>
      <c r="E33" s="35" t="n">
        <v>0</v>
      </c>
      <c r="F33" s="35" t="n">
        <v>0</v>
      </c>
      <c r="G33" s="35">
        <f>520.46+1253.11</f>
        <v/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0</v>
      </c>
      <c r="O33" s="35" t="n">
        <v>0</v>
      </c>
      <c r="P33" s="35" t="n">
        <v>0</v>
      </c>
      <c r="Q33" s="35" t="n">
        <v>0</v>
      </c>
      <c r="R33" s="35" t="n">
        <v>0</v>
      </c>
      <c r="S33" s="35" t="n">
        <v>0</v>
      </c>
      <c r="T33" s="35" t="n">
        <v>0</v>
      </c>
      <c r="U33" s="35" t="n">
        <v>0</v>
      </c>
      <c r="V33" s="35" t="n">
        <v>0</v>
      </c>
      <c r="W33" s="35" t="n">
        <v>0</v>
      </c>
      <c r="X33" s="35" t="n">
        <v>0</v>
      </c>
      <c r="Y33" s="35" t="n">
        <v>0</v>
      </c>
      <c r="Z33" s="35" t="n">
        <v>0</v>
      </c>
      <c r="AA33" s="35" t="n">
        <v>0</v>
      </c>
      <c r="AB33" s="35" t="n">
        <v>0</v>
      </c>
      <c r="AC33" s="35" t="n">
        <v>0</v>
      </c>
      <c r="AD33" s="35" t="n">
        <v>0</v>
      </c>
      <c r="AE33" s="35" t="n">
        <v>0</v>
      </c>
      <c r="AF33" s="35" t="n">
        <v>0</v>
      </c>
      <c r="AG33" s="35" t="n">
        <v>0</v>
      </c>
      <c r="AH33" s="35" t="n">
        <v>0</v>
      </c>
      <c r="AI33" s="35" t="n">
        <v>0</v>
      </c>
      <c r="AJ33" s="35">
        <f>SUM(C33:AI33)</f>
        <v/>
      </c>
      <c r="AK33" s="35">
        <f>B33-AJ33</f>
        <v/>
      </c>
    </row>
    <row r="34" ht="14.25" customHeight="1" s="134">
      <c r="A34" s="91" t="inlineStr">
        <is>
          <t xml:space="preserve"> Chinchi Mano de Obra y Materiales Bodegas 1300mtrs</t>
        </is>
      </c>
      <c r="B34" s="35" t="n">
        <v>5938.33</v>
      </c>
      <c r="C34" s="35" t="n">
        <v>5938.33</v>
      </c>
      <c r="D34" s="35" t="n">
        <v>0</v>
      </c>
      <c r="E34" s="35" t="n">
        <v>0</v>
      </c>
      <c r="F34" s="150">
        <f>1861.75+618.41</f>
        <v/>
      </c>
      <c r="G34" s="35" t="n">
        <v>0</v>
      </c>
      <c r="H34" s="35" t="n">
        <v>0</v>
      </c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  <c r="N34" s="35" t="n">
        <v>0</v>
      </c>
      <c r="O34" s="35" t="n">
        <v>0</v>
      </c>
      <c r="P34" s="35" t="n">
        <v>0</v>
      </c>
      <c r="Q34" s="35" t="n">
        <v>0</v>
      </c>
      <c r="R34" s="35" t="n">
        <v>0</v>
      </c>
      <c r="S34" s="35" t="n">
        <v>0</v>
      </c>
      <c r="T34" s="35" t="n">
        <v>0</v>
      </c>
      <c r="U34" s="35" t="n">
        <v>0</v>
      </c>
      <c r="V34" s="35" t="n">
        <v>0</v>
      </c>
      <c r="W34" s="35" t="n">
        <v>0</v>
      </c>
      <c r="X34" s="35" t="n">
        <v>0</v>
      </c>
      <c r="Y34" s="35" t="n">
        <v>0</v>
      </c>
      <c r="Z34" s="35" t="n">
        <v>0</v>
      </c>
      <c r="AA34" s="35" t="n">
        <v>0</v>
      </c>
      <c r="AB34" s="35" t="n">
        <v>0</v>
      </c>
      <c r="AC34" s="35" t="n">
        <v>0</v>
      </c>
      <c r="AD34" s="35" t="n">
        <v>0</v>
      </c>
      <c r="AE34" s="35" t="n">
        <v>0</v>
      </c>
      <c r="AF34" s="35" t="n">
        <v>0</v>
      </c>
      <c r="AG34" s="35" t="n">
        <v>0</v>
      </c>
      <c r="AH34" s="35" t="n">
        <v>0</v>
      </c>
      <c r="AI34" s="35" t="n">
        <v>0</v>
      </c>
      <c r="AJ34" s="35">
        <f>SUM(C34:AI34)</f>
        <v/>
      </c>
      <c r="AK34" s="35">
        <f>B34-AJ34</f>
        <v/>
      </c>
    </row>
    <row r="35" ht="14.25" customHeight="1" s="134">
      <c r="A35" s="93" t="inlineStr">
        <is>
          <t>10 Viajes de arena bod 1300m2</t>
        </is>
      </c>
      <c r="B35" s="35">
        <f>10*80</f>
        <v/>
      </c>
      <c r="C35" s="35" t="n"/>
      <c r="D35" s="35" t="n">
        <v>0</v>
      </c>
      <c r="E35" s="35" t="n">
        <v>0</v>
      </c>
      <c r="F35" s="150" t="n">
        <v>812</v>
      </c>
      <c r="G35" s="35" t="n">
        <v>0</v>
      </c>
      <c r="H35" s="35" t="n">
        <v>0</v>
      </c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  <c r="N35" s="35" t="n">
        <v>0</v>
      </c>
      <c r="O35" s="35" t="n">
        <v>0</v>
      </c>
      <c r="P35" s="35" t="n">
        <v>0</v>
      </c>
      <c r="Q35" s="35" t="n">
        <v>0</v>
      </c>
      <c r="R35" s="35" t="n">
        <v>0</v>
      </c>
      <c r="S35" s="35" t="n">
        <v>0</v>
      </c>
      <c r="T35" s="35" t="n">
        <v>0</v>
      </c>
      <c r="U35" s="35" t="n">
        <v>0</v>
      </c>
      <c r="V35" s="35" t="n">
        <v>0</v>
      </c>
      <c r="W35" s="35" t="n">
        <v>0</v>
      </c>
      <c r="X35" s="35" t="n">
        <v>0</v>
      </c>
      <c r="Y35" s="35" t="n">
        <v>0</v>
      </c>
      <c r="Z35" s="35" t="n">
        <v>0</v>
      </c>
      <c r="AA35" s="35" t="n">
        <v>0</v>
      </c>
      <c r="AB35" s="35" t="n">
        <v>0</v>
      </c>
      <c r="AC35" s="35" t="n">
        <v>0</v>
      </c>
      <c r="AD35" s="35" t="n">
        <v>0</v>
      </c>
      <c r="AE35" s="35" t="n">
        <v>0</v>
      </c>
      <c r="AF35" s="35" t="n">
        <v>0</v>
      </c>
      <c r="AG35" s="35" t="n">
        <v>0</v>
      </c>
      <c r="AH35" s="35" t="n">
        <v>0</v>
      </c>
      <c r="AI35" s="35" t="n">
        <v>0</v>
      </c>
      <c r="AJ35" s="35">
        <f>SUM(C35:AI35)</f>
        <v/>
      </c>
      <c r="AK35" s="35">
        <f>B35-AJ35</f>
        <v/>
      </c>
    </row>
    <row r="36" ht="14.25" customHeight="1" s="134">
      <c r="A36" s="94" t="inlineStr">
        <is>
          <t>SUBTOTAL EGRESOS DE OBRA DE BODEGA 1300M2</t>
        </is>
      </c>
      <c r="B36" s="159">
        <f>+SUM(B23:B35)</f>
        <v/>
      </c>
      <c r="C36" s="160">
        <f>+SUM(B23:B35)/1300</f>
        <v/>
      </c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 t="n"/>
      <c r="AF36" s="35" t="n"/>
      <c r="AG36" s="35" t="n"/>
      <c r="AH36" s="35" t="n"/>
      <c r="AI36" s="35" t="n"/>
      <c r="AJ36" s="35" t="n"/>
      <c r="AK36" s="35" t="n"/>
    </row>
    <row r="37" ht="14.25" customHeight="1" s="134">
      <c r="A37" s="86" t="inlineStr">
        <is>
          <t xml:space="preserve"> Flores (Mano de obra Const. Bodega 150m2)</t>
        </is>
      </c>
      <c r="B37" s="35" t="n">
        <v>2693.88</v>
      </c>
      <c r="C37" s="35" t="n"/>
      <c r="D37" s="35" t="n">
        <v>0</v>
      </c>
      <c r="E37" s="35" t="n">
        <v>0</v>
      </c>
      <c r="F37" s="35" t="n">
        <v>0</v>
      </c>
      <c r="G37" s="35" t="n">
        <v>0</v>
      </c>
      <c r="H37" s="35">
        <f>+B37*40%</f>
        <v/>
      </c>
      <c r="I37" s="35" t="n">
        <v>0</v>
      </c>
      <c r="J37" s="35" t="n">
        <v>0</v>
      </c>
      <c r="K37" s="35">
        <f>+B37*30%</f>
        <v/>
      </c>
      <c r="L37" s="35" t="n">
        <v>0</v>
      </c>
      <c r="M37" s="35" t="n">
        <v>0</v>
      </c>
      <c r="N37" s="35" t="n">
        <v>0</v>
      </c>
      <c r="O37" s="35" t="n">
        <v>0</v>
      </c>
      <c r="P37" s="35" t="n">
        <v>0</v>
      </c>
      <c r="Q37" s="35" t="n">
        <v>0</v>
      </c>
      <c r="R37" s="35" t="n">
        <v>0</v>
      </c>
      <c r="S37" s="35" t="n">
        <v>0</v>
      </c>
      <c r="T37" s="35" t="n">
        <v>0</v>
      </c>
      <c r="U37" s="35" t="n">
        <v>0</v>
      </c>
      <c r="V37" s="35" t="n">
        <v>0</v>
      </c>
      <c r="W37" s="35" t="n">
        <v>0</v>
      </c>
      <c r="X37" s="35" t="n">
        <v>0</v>
      </c>
      <c r="Y37" s="35" t="n">
        <v>0</v>
      </c>
      <c r="Z37" s="35" t="n">
        <v>0</v>
      </c>
      <c r="AA37" s="35" t="n">
        <v>0</v>
      </c>
      <c r="AB37" s="35" t="n">
        <v>0</v>
      </c>
      <c r="AC37" s="35" t="n">
        <v>0</v>
      </c>
      <c r="AD37" s="35" t="n">
        <v>0</v>
      </c>
      <c r="AE37" s="35" t="n">
        <v>0</v>
      </c>
      <c r="AF37" s="35" t="n">
        <v>0</v>
      </c>
      <c r="AG37" s="35" t="n">
        <v>0</v>
      </c>
      <c r="AH37" s="35" t="n">
        <v>0</v>
      </c>
      <c r="AI37" s="35" t="n">
        <v>0</v>
      </c>
      <c r="AJ37" s="35">
        <f>SUM(C37:AI37)</f>
        <v/>
      </c>
      <c r="AK37" s="35">
        <f>B37-AJ37</f>
        <v/>
      </c>
    </row>
    <row r="38" ht="14.25" customHeight="1" s="134">
      <c r="A38" s="87" t="inlineStr">
        <is>
          <t xml:space="preserve"> Flores (Materiales Const. Bodega 150m2)</t>
        </is>
      </c>
      <c r="B38" s="35" t="n">
        <v>1507.31</v>
      </c>
      <c r="C38" s="35" t="n"/>
      <c r="D38" s="35" t="n">
        <v>0</v>
      </c>
      <c r="E38" s="35" t="n">
        <v>0</v>
      </c>
      <c r="F38" s="150" t="n">
        <v>808.16</v>
      </c>
      <c r="G38" s="35" t="n">
        <v>0</v>
      </c>
      <c r="H38" s="35" t="n">
        <v>0</v>
      </c>
      <c r="I38" s="35" t="n">
        <v>442.44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n">
        <v>0</v>
      </c>
      <c r="R38" s="35" t="n">
        <v>0</v>
      </c>
      <c r="S38" s="35" t="n">
        <v>0</v>
      </c>
      <c r="T38" s="35" t="n">
        <v>0</v>
      </c>
      <c r="U38" s="35" t="n">
        <v>0</v>
      </c>
      <c r="V38" s="35" t="n">
        <v>0</v>
      </c>
      <c r="W38" s="35" t="n">
        <v>0</v>
      </c>
      <c r="X38" s="35" t="n">
        <v>0</v>
      </c>
      <c r="Y38" s="35" t="n">
        <v>0</v>
      </c>
      <c r="Z38" s="35" t="n">
        <v>0</v>
      </c>
      <c r="AA38" s="35" t="n">
        <v>0</v>
      </c>
      <c r="AB38" s="35" t="n">
        <v>0</v>
      </c>
      <c r="AC38" s="35" t="n">
        <v>0</v>
      </c>
      <c r="AD38" s="35" t="n">
        <v>0</v>
      </c>
      <c r="AE38" s="35" t="n">
        <v>0</v>
      </c>
      <c r="AF38" s="35" t="n">
        <v>0</v>
      </c>
      <c r="AG38" s="35" t="n">
        <v>0</v>
      </c>
      <c r="AH38" s="35" t="n">
        <v>0</v>
      </c>
      <c r="AI38" s="35" t="n">
        <v>0</v>
      </c>
      <c r="AJ38" s="35">
        <f>SUM(C38:AI38)</f>
        <v/>
      </c>
      <c r="AK38" s="35">
        <f>B38-AJ38</f>
        <v/>
      </c>
    </row>
    <row r="39" ht="14.25" customHeight="1" s="134">
      <c r="A39" s="87" t="inlineStr">
        <is>
          <t xml:space="preserve"> Flores (Materiales piso, terminado) bod 150m2</t>
        </is>
      </c>
      <c r="B39" s="35">
        <f>3114.96/4</f>
        <v/>
      </c>
      <c r="C39" s="35" t="n"/>
      <c r="D39" s="35" t="n">
        <v>0</v>
      </c>
      <c r="E39" s="35" t="n">
        <v>0</v>
      </c>
      <c r="F39" s="35" t="n">
        <v>0</v>
      </c>
      <c r="G39" s="35" t="n">
        <v>0</v>
      </c>
      <c r="H39" s="88" t="n">
        <v>778.74</v>
      </c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  <c r="N39" s="35" t="n">
        <v>0</v>
      </c>
      <c r="O39" s="35" t="n">
        <v>0</v>
      </c>
      <c r="P39" s="35" t="n">
        <v>0</v>
      </c>
      <c r="Q39" s="35" t="n">
        <v>0</v>
      </c>
      <c r="R39" s="35" t="n">
        <v>0</v>
      </c>
      <c r="S39" s="35" t="n">
        <v>0</v>
      </c>
      <c r="T39" s="35" t="n">
        <v>0</v>
      </c>
      <c r="U39" s="35" t="n">
        <v>0</v>
      </c>
      <c r="V39" s="35" t="n">
        <v>0</v>
      </c>
      <c r="W39" s="35" t="n">
        <v>0</v>
      </c>
      <c r="X39" s="35" t="n">
        <v>0</v>
      </c>
      <c r="Y39" s="35" t="n">
        <v>0</v>
      </c>
      <c r="Z39" s="35" t="n">
        <v>0</v>
      </c>
      <c r="AA39" s="35" t="n">
        <v>0</v>
      </c>
      <c r="AB39" s="35" t="n">
        <v>0</v>
      </c>
      <c r="AC39" s="35" t="n">
        <v>0</v>
      </c>
      <c r="AD39" s="35" t="n">
        <v>0</v>
      </c>
      <c r="AE39" s="35" t="n">
        <v>0</v>
      </c>
      <c r="AF39" s="35" t="n">
        <v>0</v>
      </c>
      <c r="AG39" s="35" t="n">
        <v>0</v>
      </c>
      <c r="AH39" s="35" t="n">
        <v>0</v>
      </c>
      <c r="AI39" s="35" t="n">
        <v>0</v>
      </c>
      <c r="AJ39" s="35">
        <f>SUM(C39:AI39)</f>
        <v/>
      </c>
      <c r="AK39" s="35">
        <f>B39-AJ39</f>
        <v/>
      </c>
    </row>
    <row r="40" ht="14.25" customHeight="1" s="134">
      <c r="A40" s="87" t="inlineStr">
        <is>
          <t>Tapia (Mano de obra Const. Bodega 150m2 - Metálica)</t>
        </is>
      </c>
      <c r="B40" s="35" t="n">
        <v>1885</v>
      </c>
      <c r="C40" s="35" t="n"/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0</v>
      </c>
      <c r="P40" s="35" t="n">
        <v>0</v>
      </c>
      <c r="Q40" s="35" t="n">
        <v>0</v>
      </c>
      <c r="R40" s="35" t="n">
        <v>0</v>
      </c>
      <c r="S40" s="35" t="n">
        <v>0</v>
      </c>
      <c r="T40" s="35" t="n">
        <v>0</v>
      </c>
      <c r="U40" s="35" t="n">
        <v>0</v>
      </c>
      <c r="V40" s="35" t="n">
        <v>0</v>
      </c>
      <c r="W40" s="35" t="n">
        <v>0</v>
      </c>
      <c r="X40" s="35" t="n">
        <v>0</v>
      </c>
      <c r="Y40" s="35" t="n">
        <v>0</v>
      </c>
      <c r="Z40" s="35" t="n">
        <v>0</v>
      </c>
      <c r="AA40" s="35" t="n">
        <v>0</v>
      </c>
      <c r="AB40" s="35" t="n">
        <v>0</v>
      </c>
      <c r="AC40" s="35" t="n">
        <v>0</v>
      </c>
      <c r="AD40" s="35" t="n">
        <v>0</v>
      </c>
      <c r="AE40" s="35" t="n">
        <v>0</v>
      </c>
      <c r="AF40" s="35" t="n">
        <v>0</v>
      </c>
      <c r="AG40" s="35" t="n">
        <v>0</v>
      </c>
      <c r="AH40" s="35" t="n">
        <v>0</v>
      </c>
      <c r="AI40" s="35" t="n">
        <v>0</v>
      </c>
      <c r="AJ40" s="35">
        <f>SUM(C40:AI40)</f>
        <v/>
      </c>
      <c r="AK40" s="35">
        <f>B40-AJ40</f>
        <v/>
      </c>
    </row>
    <row r="41" ht="14.25" customHeight="1" s="134">
      <c r="A41" s="87" t="inlineStr">
        <is>
          <t xml:space="preserve"> Tapia  (Materiales Const. Bodega 150m2  - Metálica)</t>
        </is>
      </c>
      <c r="B41" s="35" t="n">
        <v>2485.14</v>
      </c>
      <c r="C41" s="35" t="n"/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0</v>
      </c>
      <c r="O41" s="35" t="n">
        <v>0</v>
      </c>
      <c r="P41" s="35" t="n">
        <v>0</v>
      </c>
      <c r="Q41" s="35" t="n">
        <v>0</v>
      </c>
      <c r="R41" s="35" t="n">
        <v>0</v>
      </c>
      <c r="S41" s="35" t="n">
        <v>0</v>
      </c>
      <c r="T41" s="35" t="n">
        <v>0</v>
      </c>
      <c r="U41" s="35" t="n">
        <v>0</v>
      </c>
      <c r="V41" s="35" t="n">
        <v>0</v>
      </c>
      <c r="W41" s="35" t="n">
        <v>0</v>
      </c>
      <c r="X41" s="35" t="n">
        <v>0</v>
      </c>
      <c r="Y41" s="35" t="n">
        <v>0</v>
      </c>
      <c r="Z41" s="35" t="n">
        <v>0</v>
      </c>
      <c r="AA41" s="35" t="n">
        <v>0</v>
      </c>
      <c r="AB41" s="35" t="n">
        <v>0</v>
      </c>
      <c r="AC41" s="35" t="n">
        <v>0</v>
      </c>
      <c r="AD41" s="35" t="n">
        <v>0</v>
      </c>
      <c r="AE41" s="35" t="n">
        <v>0</v>
      </c>
      <c r="AF41" s="35" t="n">
        <v>0</v>
      </c>
      <c r="AG41" s="35" t="n">
        <v>0</v>
      </c>
      <c r="AH41" s="35" t="n">
        <v>0</v>
      </c>
      <c r="AI41" s="35" t="n">
        <v>0</v>
      </c>
      <c r="AJ41" s="35">
        <f>SUM(C41:AI41)</f>
        <v/>
      </c>
      <c r="AK41" s="35">
        <f>B41-AJ41</f>
        <v/>
      </c>
    </row>
    <row r="42" ht="14.25" customHeight="1" s="134">
      <c r="A42" s="11" t="inlineStr">
        <is>
          <t xml:space="preserve"> Chinchi Mano de Obra y Materiales (eléctrico) Bod 150m</t>
        </is>
      </c>
      <c r="B42" s="88" t="n">
        <v>597.14</v>
      </c>
      <c r="C42" s="35" t="n"/>
      <c r="D42" s="35" t="n">
        <v>0</v>
      </c>
      <c r="E42" s="35" t="n">
        <v>0</v>
      </c>
      <c r="F42" s="35" t="n">
        <v>0</v>
      </c>
      <c r="G42" s="88" t="n">
        <v>597.14</v>
      </c>
      <c r="H42" s="35" t="n">
        <v>0</v>
      </c>
      <c r="I42" s="35" t="n">
        <v>0</v>
      </c>
      <c r="J42" s="35" t="n">
        <v>0</v>
      </c>
      <c r="K42" s="35" t="n">
        <v>0</v>
      </c>
      <c r="L42" s="35" t="n">
        <v>0</v>
      </c>
      <c r="M42" s="35" t="n">
        <v>0</v>
      </c>
      <c r="N42" s="35" t="n">
        <v>0</v>
      </c>
      <c r="O42" s="35" t="n">
        <v>0</v>
      </c>
      <c r="P42" s="35" t="n">
        <v>0</v>
      </c>
      <c r="Q42" s="35" t="n">
        <v>0</v>
      </c>
      <c r="R42" s="35" t="n">
        <v>0</v>
      </c>
      <c r="S42" s="35" t="n">
        <v>0</v>
      </c>
      <c r="T42" s="35" t="n">
        <v>0</v>
      </c>
      <c r="U42" s="35" t="n">
        <v>0</v>
      </c>
      <c r="V42" s="35" t="n">
        <v>0</v>
      </c>
      <c r="W42" s="35" t="n">
        <v>0</v>
      </c>
      <c r="X42" s="35" t="n">
        <v>0</v>
      </c>
      <c r="Y42" s="35" t="n">
        <v>0</v>
      </c>
      <c r="Z42" s="35" t="n">
        <v>0</v>
      </c>
      <c r="AA42" s="35" t="n">
        <v>0</v>
      </c>
      <c r="AB42" s="35" t="n">
        <v>0</v>
      </c>
      <c r="AC42" s="35" t="n">
        <v>0</v>
      </c>
      <c r="AD42" s="35" t="n">
        <v>0</v>
      </c>
      <c r="AE42" s="35" t="n">
        <v>0</v>
      </c>
      <c r="AF42" s="35" t="n">
        <v>0</v>
      </c>
      <c r="AG42" s="35" t="n">
        <v>0</v>
      </c>
      <c r="AH42" s="35" t="n">
        <v>0</v>
      </c>
      <c r="AI42" s="35" t="n">
        <v>0</v>
      </c>
      <c r="AJ42" s="35">
        <f>SUM(C42:AI42)</f>
        <v/>
      </c>
      <c r="AK42" s="35">
        <f>B42-AJ42</f>
        <v/>
      </c>
    </row>
    <row r="43" ht="14.25" customHeight="1" s="134">
      <c r="A43" s="63" t="inlineStr">
        <is>
          <t>Hormigon - Bodega 150m2</t>
        </is>
      </c>
      <c r="B43" s="88">
        <f>4363.02+650</f>
        <v/>
      </c>
      <c r="C43" s="35" t="n"/>
      <c r="D43" s="35" t="n">
        <v>4363.02</v>
      </c>
      <c r="E43" s="88" t="n">
        <v>650</v>
      </c>
      <c r="F43" s="35" t="n">
        <v>0</v>
      </c>
      <c r="G43" s="35" t="n">
        <v>0</v>
      </c>
      <c r="H43" s="35" t="n">
        <v>0</v>
      </c>
      <c r="I43" s="35" t="n">
        <v>0</v>
      </c>
      <c r="J43" s="35" t="n">
        <v>0</v>
      </c>
      <c r="K43" s="35" t="n">
        <v>0</v>
      </c>
      <c r="L43" s="35" t="n">
        <v>0</v>
      </c>
      <c r="M43" s="35" t="n">
        <v>0</v>
      </c>
      <c r="N43" s="35" t="n">
        <v>0</v>
      </c>
      <c r="O43" s="35" t="n">
        <v>0</v>
      </c>
      <c r="P43" s="35" t="n">
        <v>0</v>
      </c>
      <c r="Q43" s="35" t="n">
        <v>0</v>
      </c>
      <c r="R43" s="35" t="n">
        <v>0</v>
      </c>
      <c r="S43" s="35" t="n">
        <v>0</v>
      </c>
      <c r="T43" s="35" t="n">
        <v>0</v>
      </c>
      <c r="U43" s="35" t="n">
        <v>0</v>
      </c>
      <c r="V43" s="35" t="n">
        <v>0</v>
      </c>
      <c r="W43" s="35" t="n">
        <v>0</v>
      </c>
      <c r="X43" s="35" t="n">
        <v>0</v>
      </c>
      <c r="Y43" s="35" t="n">
        <v>0</v>
      </c>
      <c r="Z43" s="35" t="n">
        <v>0</v>
      </c>
      <c r="AA43" s="35" t="n">
        <v>0</v>
      </c>
      <c r="AB43" s="35" t="n">
        <v>0</v>
      </c>
      <c r="AC43" s="35" t="n">
        <v>0</v>
      </c>
      <c r="AD43" s="35" t="n">
        <v>0</v>
      </c>
      <c r="AE43" s="35" t="n">
        <v>0</v>
      </c>
      <c r="AF43" s="35" t="n">
        <v>0</v>
      </c>
      <c r="AG43" s="35" t="n">
        <v>0</v>
      </c>
      <c r="AH43" s="35" t="n">
        <v>0</v>
      </c>
      <c r="AI43" s="35" t="n">
        <v>0</v>
      </c>
      <c r="AJ43" s="35">
        <f>SUM(C43:AI43)</f>
        <v/>
      </c>
      <c r="AK43" s="35">
        <f>B43-AJ43</f>
        <v/>
      </c>
    </row>
    <row r="44" ht="14.25" customHeight="1" s="134">
      <c r="A44" s="63" t="inlineStr">
        <is>
          <t>Transporte de Container - 150m2</t>
        </is>
      </c>
      <c r="B44" s="35" t="n">
        <v>198</v>
      </c>
      <c r="C44" s="35" t="n"/>
      <c r="D44" s="35" t="n">
        <v>198</v>
      </c>
      <c r="E44" s="35" t="n">
        <v>0</v>
      </c>
      <c r="F44" s="35" t="n">
        <v>0</v>
      </c>
      <c r="G44" s="35" t="n">
        <v>0</v>
      </c>
      <c r="H44" s="35" t="n">
        <v>0</v>
      </c>
      <c r="I44" s="35" t="n">
        <v>0</v>
      </c>
      <c r="J44" s="35" t="n">
        <v>0</v>
      </c>
      <c r="K44" s="35" t="n">
        <v>0</v>
      </c>
      <c r="L44" s="35" t="n">
        <v>0</v>
      </c>
      <c r="M44" s="35" t="n">
        <v>0</v>
      </c>
      <c r="N44" s="35" t="n">
        <v>0</v>
      </c>
      <c r="O44" s="35" t="n">
        <v>0</v>
      </c>
      <c r="P44" s="35" t="n">
        <v>0</v>
      </c>
      <c r="Q44" s="35" t="n">
        <v>0</v>
      </c>
      <c r="R44" s="35" t="n">
        <v>0</v>
      </c>
      <c r="S44" s="35" t="n">
        <v>0</v>
      </c>
      <c r="T44" s="35" t="n">
        <v>0</v>
      </c>
      <c r="U44" s="35" t="n">
        <v>0</v>
      </c>
      <c r="V44" s="35" t="n">
        <v>0</v>
      </c>
      <c r="W44" s="35" t="n">
        <v>0</v>
      </c>
      <c r="X44" s="35" t="n">
        <v>0</v>
      </c>
      <c r="Y44" s="35" t="n">
        <v>0</v>
      </c>
      <c r="Z44" s="35" t="n">
        <v>0</v>
      </c>
      <c r="AA44" s="35" t="n">
        <v>0</v>
      </c>
      <c r="AB44" s="35" t="n">
        <v>0</v>
      </c>
      <c r="AC44" s="35" t="n">
        <v>0</v>
      </c>
      <c r="AD44" s="35" t="n">
        <v>0</v>
      </c>
      <c r="AE44" s="35" t="n">
        <v>0</v>
      </c>
      <c r="AF44" s="35" t="n">
        <v>0</v>
      </c>
      <c r="AG44" s="35" t="n">
        <v>0</v>
      </c>
      <c r="AH44" s="35" t="n">
        <v>0</v>
      </c>
      <c r="AI44" s="35" t="n">
        <v>0</v>
      </c>
      <c r="AJ44" s="35">
        <f>SUM(C44:AI44)</f>
        <v/>
      </c>
      <c r="AK44" s="35">
        <f>B44-AJ44</f>
        <v/>
      </c>
    </row>
    <row r="45" ht="14.25" customHeight="1" s="134">
      <c r="A45" s="89" t="inlineStr">
        <is>
          <t>Instalación Electrica Contenedores - bod 150m2</t>
        </is>
      </c>
      <c r="B45" s="35" t="n">
        <v>156.19</v>
      </c>
      <c r="C45" s="35" t="n"/>
      <c r="D45" s="35" t="n">
        <v>0</v>
      </c>
      <c r="E45" s="90" t="n">
        <v>156.19</v>
      </c>
      <c r="F45" s="35" t="n">
        <v>0</v>
      </c>
      <c r="G45" s="35" t="n">
        <v>0</v>
      </c>
      <c r="H45" s="35" t="n">
        <v>0</v>
      </c>
      <c r="I45" s="35" t="n">
        <v>0</v>
      </c>
      <c r="J45" s="35" t="n">
        <v>0</v>
      </c>
      <c r="K45" s="35" t="n">
        <v>0</v>
      </c>
      <c r="L45" s="35" t="n">
        <v>0</v>
      </c>
      <c r="M45" s="35" t="n">
        <v>0</v>
      </c>
      <c r="N45" s="35" t="n">
        <v>0</v>
      </c>
      <c r="O45" s="35" t="n">
        <v>0</v>
      </c>
      <c r="P45" s="35" t="n">
        <v>0</v>
      </c>
      <c r="Q45" s="35" t="n">
        <v>0</v>
      </c>
      <c r="R45" s="35" t="n">
        <v>0</v>
      </c>
      <c r="S45" s="35" t="n">
        <v>0</v>
      </c>
      <c r="T45" s="35" t="n">
        <v>0</v>
      </c>
      <c r="U45" s="35" t="n">
        <v>0</v>
      </c>
      <c r="V45" s="35" t="n">
        <v>0</v>
      </c>
      <c r="W45" s="35" t="n">
        <v>0</v>
      </c>
      <c r="X45" s="35" t="n">
        <v>0</v>
      </c>
      <c r="Y45" s="35" t="n">
        <v>0</v>
      </c>
      <c r="Z45" s="35" t="n">
        <v>0</v>
      </c>
      <c r="AA45" s="35" t="n">
        <v>0</v>
      </c>
      <c r="AB45" s="35" t="n">
        <v>0</v>
      </c>
      <c r="AC45" s="35" t="n">
        <v>0</v>
      </c>
      <c r="AD45" s="35" t="n">
        <v>0</v>
      </c>
      <c r="AE45" s="35" t="n">
        <v>0</v>
      </c>
      <c r="AF45" s="35" t="n">
        <v>0</v>
      </c>
      <c r="AG45" s="35" t="n">
        <v>0</v>
      </c>
      <c r="AH45" s="35" t="n">
        <v>0</v>
      </c>
      <c r="AI45" s="35" t="n">
        <v>0</v>
      </c>
      <c r="AJ45" s="35">
        <f>SUM(C45:AI45)</f>
        <v/>
      </c>
      <c r="AK45" s="35">
        <f>B45-AJ45</f>
        <v/>
      </c>
    </row>
    <row r="46" ht="14.25" customHeight="1" s="134">
      <c r="A46" s="94" t="inlineStr">
        <is>
          <t>SUBTOTAL EGRESOS DE OBRA DE BODEGA 150 M2</t>
        </is>
      </c>
      <c r="B46" s="159">
        <f>+SUM(B37:B45)</f>
        <v/>
      </c>
      <c r="C46" s="160">
        <f>+SUM(B37:B45)/150</f>
        <v/>
      </c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</row>
    <row r="47" ht="14.25" customHeight="1" s="134">
      <c r="A47" s="84" t="inlineStr">
        <is>
          <t xml:space="preserve"> Flores (Mano de obra Const. Compatty 680m2)</t>
        </is>
      </c>
      <c r="B47" s="64">
        <f>10258+4160.13</f>
        <v/>
      </c>
      <c r="C47" s="64" t="n"/>
      <c r="D47" s="35" t="n">
        <v>0</v>
      </c>
      <c r="E47" s="35" t="n">
        <v>0</v>
      </c>
      <c r="F47" s="59" t="n">
        <v>0</v>
      </c>
      <c r="G47" s="59">
        <f>+F47</f>
        <v/>
      </c>
      <c r="H47" s="59">
        <f>+G47</f>
        <v/>
      </c>
      <c r="I47" s="59">
        <f>+H47</f>
        <v/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0</v>
      </c>
      <c r="O47" s="35" t="n">
        <v>0</v>
      </c>
      <c r="P47" s="35" t="n">
        <v>0</v>
      </c>
      <c r="Q47" s="35" t="n">
        <v>0</v>
      </c>
      <c r="R47" s="35" t="n">
        <v>0</v>
      </c>
      <c r="S47" s="35" t="n">
        <v>0</v>
      </c>
      <c r="T47" s="35" t="n">
        <v>0</v>
      </c>
      <c r="U47" s="35" t="n">
        <v>0</v>
      </c>
      <c r="V47" s="35" t="n">
        <v>0</v>
      </c>
      <c r="W47" s="35" t="n">
        <v>0</v>
      </c>
      <c r="X47" s="35" t="n">
        <v>0</v>
      </c>
      <c r="Y47" s="35" t="n">
        <v>0</v>
      </c>
      <c r="Z47" s="35" t="n">
        <v>0</v>
      </c>
      <c r="AA47" s="35" t="n">
        <v>0</v>
      </c>
      <c r="AB47" s="35" t="n">
        <v>0</v>
      </c>
      <c r="AC47" s="35" t="n">
        <v>0</v>
      </c>
      <c r="AD47" s="35" t="n">
        <v>0</v>
      </c>
      <c r="AE47" s="35" t="n">
        <v>0</v>
      </c>
      <c r="AF47" s="35" t="n">
        <v>0</v>
      </c>
      <c r="AG47" s="35" t="n">
        <v>0</v>
      </c>
      <c r="AH47" s="35" t="n">
        <v>0</v>
      </c>
      <c r="AI47" s="35" t="n">
        <v>0</v>
      </c>
      <c r="AJ47" s="35">
        <f>SUM(C47:AI47)</f>
        <v/>
      </c>
      <c r="AK47" s="35">
        <f>B47-AJ47</f>
        <v/>
      </c>
    </row>
    <row r="48" ht="14.25" customHeight="1" s="134">
      <c r="A48" s="84" t="inlineStr">
        <is>
          <t xml:space="preserve"> Flores (Materiales Const. Compatty 680m2)</t>
        </is>
      </c>
      <c r="B48" s="64">
        <f>12166.54+8860.75</f>
        <v/>
      </c>
      <c r="C48" s="64" t="n"/>
      <c r="D48" s="35" t="n">
        <v>0</v>
      </c>
      <c r="E48" s="35" t="n">
        <v>0</v>
      </c>
      <c r="F48" s="59" t="n">
        <v>0</v>
      </c>
      <c r="G48" s="59">
        <f>+F48</f>
        <v/>
      </c>
      <c r="H48" s="59">
        <f>+G48</f>
        <v/>
      </c>
      <c r="I48" s="59">
        <f>+H48</f>
        <v/>
      </c>
      <c r="J48" s="35" t="n">
        <v>0</v>
      </c>
      <c r="K48" s="35" t="n">
        <v>0</v>
      </c>
      <c r="L48" s="35" t="n">
        <v>0</v>
      </c>
      <c r="M48" s="35" t="n">
        <v>0</v>
      </c>
      <c r="N48" s="35" t="n">
        <v>0</v>
      </c>
      <c r="O48" s="35" t="n">
        <v>0</v>
      </c>
      <c r="P48" s="35" t="n">
        <v>0</v>
      </c>
      <c r="Q48" s="35" t="n">
        <v>0</v>
      </c>
      <c r="R48" s="35" t="n">
        <v>0</v>
      </c>
      <c r="S48" s="35" t="n">
        <v>0</v>
      </c>
      <c r="T48" s="35" t="n">
        <v>0</v>
      </c>
      <c r="U48" s="35" t="n">
        <v>0</v>
      </c>
      <c r="V48" s="35" t="n">
        <v>0</v>
      </c>
      <c r="W48" s="35" t="n">
        <v>0</v>
      </c>
      <c r="X48" s="35" t="n">
        <v>0</v>
      </c>
      <c r="Y48" s="35" t="n">
        <v>0</v>
      </c>
      <c r="Z48" s="35" t="n">
        <v>0</v>
      </c>
      <c r="AA48" s="35" t="n">
        <v>0</v>
      </c>
      <c r="AB48" s="35" t="n">
        <v>0</v>
      </c>
      <c r="AC48" s="35" t="n">
        <v>0</v>
      </c>
      <c r="AD48" s="35" t="n">
        <v>0</v>
      </c>
      <c r="AE48" s="35" t="n">
        <v>0</v>
      </c>
      <c r="AF48" s="35" t="n">
        <v>0</v>
      </c>
      <c r="AG48" s="35" t="n">
        <v>0</v>
      </c>
      <c r="AH48" s="35" t="n">
        <v>0</v>
      </c>
      <c r="AI48" s="35" t="n">
        <v>0</v>
      </c>
      <c r="AJ48" s="35">
        <f>SUM(C48:AI48)</f>
        <v/>
      </c>
      <c r="AK48" s="35">
        <f>B48-AJ48</f>
        <v/>
      </c>
    </row>
    <row r="49" ht="14.25" customHeight="1" s="134">
      <c r="A49" s="83" t="inlineStr">
        <is>
          <t>Estructura Metalica - Sra Ruth Mano de Obra - Bod.680m2 Compatty</t>
        </is>
      </c>
      <c r="B49" s="35" t="n">
        <v>6500</v>
      </c>
      <c r="C49" s="35" t="n"/>
      <c r="D49" s="35" t="n">
        <v>0</v>
      </c>
      <c r="E49" s="35" t="n">
        <v>0</v>
      </c>
      <c r="F49" s="35" t="n">
        <v>0</v>
      </c>
      <c r="G49" s="35" t="n">
        <v>928.5714285714286</v>
      </c>
      <c r="H49" s="35" t="n">
        <v>928.5714285714286</v>
      </c>
      <c r="I49" s="35" t="n">
        <v>928.5714285714286</v>
      </c>
      <c r="J49" s="35" t="n">
        <v>928.5714285714286</v>
      </c>
      <c r="K49" s="35" t="n">
        <v>928.5714285714286</v>
      </c>
      <c r="L49" s="35" t="n">
        <v>928.5700000000001</v>
      </c>
      <c r="M49" s="35" t="n">
        <v>0</v>
      </c>
      <c r="N49" s="35" t="n">
        <v>0</v>
      </c>
      <c r="O49" s="35" t="n">
        <v>0</v>
      </c>
      <c r="P49" s="35" t="n">
        <v>0</v>
      </c>
      <c r="Q49" s="35" t="n">
        <v>0</v>
      </c>
      <c r="R49" s="35" t="n">
        <v>0</v>
      </c>
      <c r="S49" s="35" t="n">
        <v>0</v>
      </c>
      <c r="T49" s="35" t="n">
        <v>0</v>
      </c>
      <c r="U49" s="35" t="n">
        <v>0</v>
      </c>
      <c r="V49" s="35" t="n">
        <v>0</v>
      </c>
      <c r="W49" s="35" t="n">
        <v>0</v>
      </c>
      <c r="X49" s="35" t="n">
        <v>0</v>
      </c>
      <c r="Y49" s="35" t="n">
        <v>0</v>
      </c>
      <c r="Z49" s="35" t="n">
        <v>0</v>
      </c>
      <c r="AA49" s="35" t="n">
        <v>0</v>
      </c>
      <c r="AB49" s="35" t="n">
        <v>0</v>
      </c>
      <c r="AC49" s="35" t="n">
        <v>0</v>
      </c>
      <c r="AD49" s="35" t="n">
        <v>0</v>
      </c>
      <c r="AE49" s="35" t="n">
        <v>0</v>
      </c>
      <c r="AF49" s="35" t="n">
        <v>0</v>
      </c>
      <c r="AG49" s="35" t="n">
        <v>0</v>
      </c>
      <c r="AH49" s="35" t="n">
        <v>0</v>
      </c>
      <c r="AI49" s="35" t="n">
        <v>0</v>
      </c>
      <c r="AJ49" s="35">
        <f>SUM(C49:AI49)</f>
        <v/>
      </c>
      <c r="AK49" s="35">
        <f>B49-AJ49</f>
        <v/>
      </c>
    </row>
    <row r="50" ht="14.25" customHeight="1" s="134">
      <c r="A50" s="84" t="inlineStr">
        <is>
          <t>14 tubos redondos bpdega 680m2</t>
        </is>
      </c>
      <c r="B50" s="88" t="n">
        <v>6500</v>
      </c>
      <c r="C50" s="35" t="n"/>
      <c r="D50" s="35" t="n">
        <v>0</v>
      </c>
      <c r="E50" s="35" t="n">
        <v>0</v>
      </c>
      <c r="F50" s="35" t="n">
        <v>0</v>
      </c>
      <c r="G50" s="35" t="n">
        <v>0</v>
      </c>
      <c r="H50" s="35" t="n">
        <v>0</v>
      </c>
      <c r="I50" s="35" t="n">
        <v>0</v>
      </c>
      <c r="J50" s="35" t="n">
        <v>0</v>
      </c>
      <c r="K50" s="35" t="n">
        <v>0</v>
      </c>
      <c r="L50" s="35" t="n">
        <v>0</v>
      </c>
      <c r="M50" s="35" t="n">
        <v>0</v>
      </c>
      <c r="N50" s="35" t="n">
        <v>0</v>
      </c>
      <c r="O50" s="35" t="n">
        <v>0</v>
      </c>
      <c r="P50" s="35" t="n">
        <v>0</v>
      </c>
      <c r="Q50" s="35" t="n">
        <v>0</v>
      </c>
      <c r="R50" s="35" t="n">
        <v>0</v>
      </c>
      <c r="S50" s="35" t="n">
        <v>0</v>
      </c>
      <c r="T50" s="35" t="n">
        <v>0</v>
      </c>
      <c r="U50" s="35" t="n">
        <v>0</v>
      </c>
      <c r="V50" s="35" t="n">
        <v>0</v>
      </c>
      <c r="W50" s="35" t="n">
        <v>0</v>
      </c>
      <c r="X50" s="35" t="n">
        <v>0</v>
      </c>
      <c r="Y50" s="35" t="n">
        <v>0</v>
      </c>
      <c r="Z50" s="35" t="n">
        <v>0</v>
      </c>
      <c r="AA50" s="35" t="n">
        <v>0</v>
      </c>
      <c r="AB50" s="35" t="n">
        <v>0</v>
      </c>
      <c r="AC50" s="35" t="n">
        <v>0</v>
      </c>
      <c r="AD50" s="35" t="n">
        <v>0</v>
      </c>
      <c r="AE50" s="35" t="n">
        <v>0</v>
      </c>
      <c r="AF50" s="35" t="n">
        <v>0</v>
      </c>
      <c r="AG50" s="35" t="n">
        <v>0</v>
      </c>
      <c r="AH50" s="35" t="n">
        <v>0</v>
      </c>
      <c r="AI50" s="35" t="n">
        <v>0</v>
      </c>
      <c r="AJ50" s="35">
        <f>SUM(C50:AI50)</f>
        <v/>
      </c>
      <c r="AK50" s="35">
        <f>B50-AJ50</f>
        <v/>
      </c>
    </row>
    <row r="51" ht="14.25" customHeight="1" s="134">
      <c r="A51" s="83" t="inlineStr">
        <is>
          <t>Estructura Metalica - Sra Ruth Materiales Obra - Bod.680m2 Compatty</t>
        </is>
      </c>
      <c r="B51" s="35" t="n">
        <v>12000</v>
      </c>
      <c r="C51" s="35" t="n"/>
      <c r="D51" s="35" t="n">
        <v>0</v>
      </c>
      <c r="E51" s="35" t="n">
        <v>0</v>
      </c>
      <c r="F51" s="35" t="n">
        <v>0</v>
      </c>
      <c r="G51" s="35" t="n">
        <v>0</v>
      </c>
      <c r="H51" s="35" t="n">
        <v>4450.18</v>
      </c>
      <c r="I51" s="35" t="n">
        <v>0</v>
      </c>
      <c r="J51" s="35" t="n">
        <v>0</v>
      </c>
      <c r="K51" s="35" t="n">
        <v>7549.82</v>
      </c>
      <c r="L51" s="35" t="n">
        <v>0</v>
      </c>
      <c r="M51" s="35" t="n">
        <v>0</v>
      </c>
      <c r="N51" s="35" t="n">
        <v>0</v>
      </c>
      <c r="O51" s="35" t="n">
        <v>0</v>
      </c>
      <c r="P51" s="35" t="n">
        <v>0</v>
      </c>
      <c r="Q51" s="35" t="n">
        <v>0</v>
      </c>
      <c r="R51" s="35" t="n">
        <v>0</v>
      </c>
      <c r="S51" s="35" t="n">
        <v>0</v>
      </c>
      <c r="T51" s="35" t="n">
        <v>0</v>
      </c>
      <c r="U51" s="35" t="n">
        <v>0</v>
      </c>
      <c r="V51" s="35" t="n">
        <v>0</v>
      </c>
      <c r="W51" s="35" t="n">
        <v>0</v>
      </c>
      <c r="X51" s="35" t="n">
        <v>0</v>
      </c>
      <c r="Y51" s="35" t="n">
        <v>0</v>
      </c>
      <c r="Z51" s="35" t="n">
        <v>0</v>
      </c>
      <c r="AA51" s="35" t="n">
        <v>0</v>
      </c>
      <c r="AB51" s="35" t="n">
        <v>0</v>
      </c>
      <c r="AC51" s="35" t="n">
        <v>0</v>
      </c>
      <c r="AD51" s="35" t="n">
        <v>0</v>
      </c>
      <c r="AE51" s="35" t="n">
        <v>0</v>
      </c>
      <c r="AF51" s="35" t="n">
        <v>0</v>
      </c>
      <c r="AG51" s="35" t="n">
        <v>0</v>
      </c>
      <c r="AH51" s="35" t="n">
        <v>0</v>
      </c>
      <c r="AI51" s="35" t="n">
        <v>0</v>
      </c>
      <c r="AJ51" s="35">
        <f>SUM(C51:AI51)</f>
        <v/>
      </c>
      <c r="AK51" s="35">
        <f>B51-AJ51</f>
        <v/>
      </c>
    </row>
    <row r="52" ht="14.25" customHeight="1" s="134">
      <c r="A52" s="84" t="inlineStr">
        <is>
          <t xml:space="preserve"> Chinchi Mano de Obra y Materiales Bodegas 680 m2</t>
        </is>
      </c>
      <c r="B52" s="88" t="n">
        <v>0</v>
      </c>
      <c r="C52" s="35" t="n"/>
      <c r="D52" s="35" t="n">
        <v>0</v>
      </c>
      <c r="E52" s="35" t="n">
        <v>0</v>
      </c>
      <c r="F52" s="35" t="n">
        <v>0</v>
      </c>
      <c r="G52" s="35" t="n">
        <v>0</v>
      </c>
      <c r="H52" s="35" t="n">
        <v>0</v>
      </c>
      <c r="I52" s="35" t="n">
        <v>0</v>
      </c>
      <c r="J52" s="35" t="n">
        <v>0</v>
      </c>
      <c r="K52" s="35" t="n">
        <v>0</v>
      </c>
      <c r="L52" s="35" t="n">
        <v>0</v>
      </c>
      <c r="M52" s="35" t="n">
        <v>0</v>
      </c>
      <c r="N52" s="35" t="n">
        <v>0</v>
      </c>
      <c r="O52" s="35" t="n">
        <v>0</v>
      </c>
      <c r="P52" s="35" t="n">
        <v>0</v>
      </c>
      <c r="Q52" s="35" t="n">
        <v>0</v>
      </c>
      <c r="R52" s="35" t="n">
        <v>0</v>
      </c>
      <c r="S52" s="35" t="n">
        <v>0</v>
      </c>
      <c r="T52" s="35" t="n">
        <v>0</v>
      </c>
      <c r="U52" s="35" t="n">
        <v>0</v>
      </c>
      <c r="V52" s="35" t="n">
        <v>0</v>
      </c>
      <c r="W52" s="35" t="n">
        <v>0</v>
      </c>
      <c r="X52" s="35" t="n">
        <v>0</v>
      </c>
      <c r="Y52" s="35" t="n">
        <v>0</v>
      </c>
      <c r="Z52" s="35" t="n">
        <v>0</v>
      </c>
      <c r="AA52" s="35" t="n">
        <v>0</v>
      </c>
      <c r="AB52" s="35" t="n">
        <v>0</v>
      </c>
      <c r="AC52" s="35" t="n">
        <v>0</v>
      </c>
      <c r="AD52" s="35" t="n">
        <v>0</v>
      </c>
      <c r="AE52" s="35" t="n">
        <v>0</v>
      </c>
      <c r="AF52" s="35" t="n">
        <v>0</v>
      </c>
      <c r="AG52" s="35" t="n">
        <v>0</v>
      </c>
      <c r="AH52" s="35" t="n">
        <v>0</v>
      </c>
      <c r="AI52" s="35" t="n">
        <v>0</v>
      </c>
      <c r="AJ52" s="35">
        <f>SUM(C52:AI52)</f>
        <v/>
      </c>
      <c r="AK52" s="35">
        <f>B52-AJ52</f>
        <v/>
      </c>
    </row>
    <row r="53" ht="14.25" customHeight="1" s="134">
      <c r="A53" s="94" t="inlineStr">
        <is>
          <t>SUBTOTAL EGRESOS DE OBRA DE BODEGA 680 M2</t>
        </is>
      </c>
      <c r="B53" s="159">
        <f>+SUM(B47:B52)</f>
        <v/>
      </c>
      <c r="C53" s="160">
        <f>+SUM(B47:B52)/680</f>
        <v/>
      </c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</row>
    <row r="54" ht="14.25" customHeight="1" s="134">
      <c r="A54" s="82" t="inlineStr">
        <is>
          <t xml:space="preserve">Ruth - Mano de Obra - Paso vial </t>
        </is>
      </c>
      <c r="B54" s="35">
        <f>1380+1322.5</f>
        <v/>
      </c>
      <c r="C54" s="35" t="n"/>
      <c r="D54" s="35" t="n">
        <v>0</v>
      </c>
      <c r="E54" s="90">
        <f>1190.25+300</f>
        <v/>
      </c>
      <c r="F54" s="150" t="n">
        <v>621</v>
      </c>
      <c r="G54" s="35" t="n">
        <v>0</v>
      </c>
      <c r="H54" s="35" t="n">
        <v>0</v>
      </c>
      <c r="I54" s="35" t="n">
        <v>0</v>
      </c>
      <c r="J54" s="35" t="n">
        <v>0</v>
      </c>
      <c r="K54" s="35" t="n">
        <v>0</v>
      </c>
      <c r="L54" s="35" t="n">
        <v>0</v>
      </c>
      <c r="M54" s="35" t="n">
        <v>0</v>
      </c>
      <c r="N54" s="35" t="n">
        <v>0</v>
      </c>
      <c r="O54" s="35" t="n">
        <v>0</v>
      </c>
      <c r="P54" s="35" t="n">
        <v>0</v>
      </c>
      <c r="Q54" s="35" t="n">
        <v>0</v>
      </c>
      <c r="R54" s="35" t="n">
        <v>0</v>
      </c>
      <c r="S54" s="35" t="n">
        <v>0</v>
      </c>
      <c r="T54" s="35" t="n">
        <v>0</v>
      </c>
      <c r="U54" s="35" t="n">
        <v>0</v>
      </c>
      <c r="V54" s="35" t="n">
        <v>0</v>
      </c>
      <c r="W54" s="35" t="n">
        <v>0</v>
      </c>
      <c r="X54" s="35" t="n">
        <v>0</v>
      </c>
      <c r="Y54" s="35" t="n">
        <v>0</v>
      </c>
      <c r="Z54" s="35" t="n">
        <v>0</v>
      </c>
      <c r="AA54" s="35" t="n">
        <v>0</v>
      </c>
      <c r="AB54" s="35" t="n">
        <v>0</v>
      </c>
      <c r="AC54" s="35" t="n">
        <v>0</v>
      </c>
      <c r="AD54" s="35" t="n">
        <v>0</v>
      </c>
      <c r="AE54" s="35" t="n">
        <v>0</v>
      </c>
      <c r="AF54" s="35" t="n">
        <v>0</v>
      </c>
      <c r="AG54" s="35" t="n">
        <v>0</v>
      </c>
      <c r="AH54" s="35" t="n">
        <v>0</v>
      </c>
      <c r="AI54" s="35" t="n">
        <v>0</v>
      </c>
      <c r="AJ54" s="35">
        <f>SUM(C54:AI54)</f>
        <v/>
      </c>
      <c r="AK54" s="35">
        <f>B54-AJ54</f>
        <v/>
      </c>
    </row>
    <row r="55" ht="14.25" customHeight="1" s="134">
      <c r="A55" s="82" t="inlineStr">
        <is>
          <t xml:space="preserve">Ruth - Materiales - Paso vial </t>
        </is>
      </c>
      <c r="B55" s="35">
        <f>125.03+1133.43+4450.18</f>
        <v/>
      </c>
      <c r="C55" s="35" t="n"/>
      <c r="D55" s="35" t="n">
        <v>0</v>
      </c>
      <c r="E55" s="35" t="n">
        <v>0</v>
      </c>
      <c r="F55" s="35" t="n">
        <v>0</v>
      </c>
      <c r="G55" s="35" t="n">
        <v>0</v>
      </c>
      <c r="H55" s="35" t="n">
        <v>0</v>
      </c>
      <c r="I55" s="88">
        <f>4372.73-20.66+525.85</f>
        <v/>
      </c>
      <c r="J55" s="35" t="n">
        <v>0</v>
      </c>
      <c r="K55" s="35" t="n">
        <v>0</v>
      </c>
      <c r="L55" s="35" t="n">
        <v>0</v>
      </c>
      <c r="M55" s="35" t="n">
        <v>0</v>
      </c>
      <c r="N55" s="35" t="n">
        <v>0</v>
      </c>
      <c r="O55" s="35" t="n">
        <v>0</v>
      </c>
      <c r="P55" s="35" t="n">
        <v>0</v>
      </c>
      <c r="Q55" s="35" t="n">
        <v>0</v>
      </c>
      <c r="R55" s="35" t="n">
        <v>0</v>
      </c>
      <c r="S55" s="35" t="n">
        <v>0</v>
      </c>
      <c r="T55" s="35" t="n">
        <v>0</v>
      </c>
      <c r="U55" s="35" t="n">
        <v>0</v>
      </c>
      <c r="V55" s="35" t="n">
        <v>0</v>
      </c>
      <c r="W55" s="35" t="n">
        <v>0</v>
      </c>
      <c r="X55" s="35" t="n">
        <v>0</v>
      </c>
      <c r="Y55" s="35" t="n">
        <v>0</v>
      </c>
      <c r="Z55" s="35" t="n">
        <v>0</v>
      </c>
      <c r="AA55" s="35" t="n">
        <v>0</v>
      </c>
      <c r="AB55" s="35" t="n">
        <v>0</v>
      </c>
      <c r="AC55" s="35" t="n">
        <v>0</v>
      </c>
      <c r="AD55" s="35" t="n">
        <v>0</v>
      </c>
      <c r="AE55" s="35" t="n">
        <v>0</v>
      </c>
      <c r="AF55" s="35" t="n">
        <v>0</v>
      </c>
      <c r="AG55" s="35" t="n">
        <v>0</v>
      </c>
      <c r="AH55" s="35" t="n">
        <v>0</v>
      </c>
      <c r="AI55" s="35" t="n">
        <v>0</v>
      </c>
      <c r="AJ55" s="35">
        <f>SUM(C55:AI55)</f>
        <v/>
      </c>
      <c r="AK55" s="35">
        <f>B55-AJ55</f>
        <v/>
      </c>
    </row>
    <row r="56" ht="14.25" customHeight="1" s="134">
      <c r="A56" s="11" t="inlineStr">
        <is>
          <t xml:space="preserve"> Flores (Mano de obra Enblocado y Enlucido de Paso Vial)</t>
        </is>
      </c>
      <c r="B56" s="35" t="n">
        <v>3450</v>
      </c>
      <c r="C56" s="35" t="n"/>
      <c r="D56" s="35" t="n">
        <v>0</v>
      </c>
      <c r="E56" s="35">
        <f>+B56*30%</f>
        <v/>
      </c>
      <c r="F56" s="150" t="n">
        <v>1725</v>
      </c>
      <c r="G56" s="35">
        <f>+B56*30%</f>
        <v/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0</v>
      </c>
      <c r="O56" s="35" t="n">
        <v>0</v>
      </c>
      <c r="P56" s="35" t="n">
        <v>0</v>
      </c>
      <c r="Q56" s="35" t="n">
        <v>0</v>
      </c>
      <c r="R56" s="35" t="n">
        <v>0</v>
      </c>
      <c r="S56" s="35" t="n">
        <v>0</v>
      </c>
      <c r="T56" s="35" t="n">
        <v>0</v>
      </c>
      <c r="U56" s="35" t="n">
        <v>0</v>
      </c>
      <c r="V56" s="35" t="n">
        <v>0</v>
      </c>
      <c r="W56" s="35" t="n">
        <v>0</v>
      </c>
      <c r="X56" s="35" t="n">
        <v>0</v>
      </c>
      <c r="Y56" s="35" t="n">
        <v>0</v>
      </c>
      <c r="Z56" s="35" t="n">
        <v>0</v>
      </c>
      <c r="AA56" s="35" t="n">
        <v>0</v>
      </c>
      <c r="AB56" s="35" t="n">
        <v>0</v>
      </c>
      <c r="AC56" s="35" t="n">
        <v>0</v>
      </c>
      <c r="AD56" s="35" t="n">
        <v>0</v>
      </c>
      <c r="AE56" s="35" t="n">
        <v>0</v>
      </c>
      <c r="AF56" s="35" t="n">
        <v>0</v>
      </c>
      <c r="AG56" s="35" t="n">
        <v>0</v>
      </c>
      <c r="AH56" s="35" t="n">
        <v>0</v>
      </c>
      <c r="AI56" s="35" t="n">
        <v>0</v>
      </c>
      <c r="AJ56" s="35">
        <f>SUM(C56:AI56)</f>
        <v/>
      </c>
      <c r="AK56" s="35">
        <f>B56-AJ56</f>
        <v/>
      </c>
    </row>
    <row r="57" ht="14.25" customHeight="1" s="134">
      <c r="A57" s="11" t="inlineStr">
        <is>
          <t xml:space="preserve"> Flores (MaterialesEnblocado y Enlucido de Paso Vial)</t>
        </is>
      </c>
      <c r="B57" s="35" t="n">
        <v>2643.85</v>
      </c>
      <c r="C57" s="35" t="n"/>
      <c r="D57" s="35" t="n">
        <v>0</v>
      </c>
      <c r="E57" s="35" t="n">
        <v>0</v>
      </c>
      <c r="F57" s="35" t="n">
        <v>0</v>
      </c>
      <c r="G57" s="35" t="n">
        <v>0</v>
      </c>
      <c r="H57" s="35" t="n">
        <v>0</v>
      </c>
      <c r="I57" s="35" t="n">
        <v>0</v>
      </c>
      <c r="J57" s="35" t="n">
        <v>0</v>
      </c>
      <c r="K57" s="35" t="n">
        <v>0</v>
      </c>
      <c r="L57" s="35" t="n">
        <v>0</v>
      </c>
      <c r="M57" s="35" t="n">
        <v>0</v>
      </c>
      <c r="N57" s="35" t="n">
        <v>0</v>
      </c>
      <c r="O57" s="35" t="n">
        <v>0</v>
      </c>
      <c r="P57" s="35" t="n">
        <v>0</v>
      </c>
      <c r="Q57" s="35" t="n">
        <v>0</v>
      </c>
      <c r="R57" s="35" t="n">
        <v>0</v>
      </c>
      <c r="S57" s="35" t="n">
        <v>0</v>
      </c>
      <c r="T57" s="35">
        <f>SUM(D57:S57)</f>
        <v/>
      </c>
      <c r="U57" s="35" t="n">
        <v>2643.85</v>
      </c>
      <c r="V57" s="35" t="n">
        <v>0</v>
      </c>
      <c r="W57" s="35" t="n">
        <v>0</v>
      </c>
      <c r="X57" s="35" t="n">
        <v>0</v>
      </c>
      <c r="Y57" s="35" t="n">
        <v>0</v>
      </c>
      <c r="Z57" s="35" t="n">
        <v>0</v>
      </c>
      <c r="AA57" s="35" t="n">
        <v>0</v>
      </c>
      <c r="AB57" s="35" t="n">
        <v>0</v>
      </c>
      <c r="AC57" s="35" t="n">
        <v>0</v>
      </c>
      <c r="AD57" s="35" t="n">
        <v>0</v>
      </c>
      <c r="AE57" s="35" t="n">
        <v>0</v>
      </c>
      <c r="AF57" s="35" t="n">
        <v>0</v>
      </c>
      <c r="AG57" s="35" t="n">
        <v>0</v>
      </c>
      <c r="AH57" s="35" t="n">
        <v>0</v>
      </c>
      <c r="AI57" s="35" t="n">
        <v>0</v>
      </c>
      <c r="AJ57" s="35">
        <f>SUM(C57:AI57)</f>
        <v/>
      </c>
      <c r="AK57" s="35">
        <f>B57-AJ57</f>
        <v/>
      </c>
    </row>
    <row r="58" ht="14.25" customHeight="1" s="134">
      <c r="A58" s="94" t="inlineStr">
        <is>
          <t>SUBTOTAL EGRESOS DE OBRA DE PASO VIAL</t>
        </is>
      </c>
      <c r="B58" s="159">
        <f>+SUM(B54:B57)</f>
        <v/>
      </c>
      <c r="C58" s="160">
        <f>+SUM(B54:B57)/200</f>
        <v/>
      </c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</row>
    <row r="59" ht="14.25" customHeight="1" s="134">
      <c r="A59" s="61" t="inlineStr">
        <is>
          <t>Adoquinado — mano de obra</t>
        </is>
      </c>
      <c r="B59" s="65" t="n">
        <v>40089</v>
      </c>
      <c r="C59" s="65" t="n"/>
      <c r="D59" s="35" t="n">
        <v>0</v>
      </c>
      <c r="E59" s="35" t="n">
        <v>0</v>
      </c>
      <c r="F59" s="35" t="n">
        <v>0</v>
      </c>
      <c r="G59" s="35" t="n">
        <v>0</v>
      </c>
      <c r="H59" s="35" t="n">
        <v>0</v>
      </c>
      <c r="I59" s="35" t="n">
        <v>0</v>
      </c>
      <c r="J59" s="35" t="n">
        <v>0</v>
      </c>
      <c r="K59" s="35" t="n">
        <v>0</v>
      </c>
      <c r="L59" s="35" t="n">
        <v>0</v>
      </c>
      <c r="M59" s="35" t="n">
        <v>0</v>
      </c>
      <c r="N59" s="35" t="n">
        <v>0</v>
      </c>
      <c r="O59" s="35" t="n">
        <v>0</v>
      </c>
      <c r="P59" s="35" t="n">
        <v>0</v>
      </c>
      <c r="Q59" s="35" t="n">
        <v>0</v>
      </c>
      <c r="R59" s="35" t="n">
        <v>0</v>
      </c>
      <c r="S59" s="35" t="n">
        <v>0</v>
      </c>
      <c r="T59" s="35" t="n">
        <v>0</v>
      </c>
      <c r="U59" s="35" t="n">
        <v>0</v>
      </c>
      <c r="V59" s="35" t="n">
        <v>0</v>
      </c>
      <c r="W59" s="35" t="n">
        <v>0</v>
      </c>
      <c r="X59" s="35" t="n">
        <v>0</v>
      </c>
      <c r="Y59" s="35" t="n">
        <v>0</v>
      </c>
      <c r="Z59" s="35" t="n">
        <v>0</v>
      </c>
      <c r="AA59" s="35" t="n">
        <v>0</v>
      </c>
      <c r="AB59" s="35" t="n">
        <v>0</v>
      </c>
      <c r="AC59" s="35" t="n">
        <v>0</v>
      </c>
      <c r="AD59" s="35" t="n">
        <v>0</v>
      </c>
      <c r="AE59" s="35" t="n">
        <v>0</v>
      </c>
      <c r="AF59" s="35" t="n">
        <v>0</v>
      </c>
      <c r="AG59" s="35">
        <f>+AF59</f>
        <v/>
      </c>
      <c r="AH59" s="35">
        <f>+AG59</f>
        <v/>
      </c>
      <c r="AI59" s="35">
        <f>+AH59</f>
        <v/>
      </c>
      <c r="AJ59" s="35">
        <f>SUM(C59:AI59)</f>
        <v/>
      </c>
      <c r="AK59" s="35">
        <f>B59-AJ59</f>
        <v/>
      </c>
    </row>
    <row r="60" ht="14.25" customHeight="1" s="134">
      <c r="A60" s="61" t="inlineStr">
        <is>
          <t>Adoquinado — material</t>
        </is>
      </c>
      <c r="B60" s="65" t="n">
        <v>80568</v>
      </c>
      <c r="C60" s="65" t="n"/>
      <c r="D60" s="35" t="n">
        <v>0</v>
      </c>
      <c r="E60" s="35" t="n">
        <v>0</v>
      </c>
      <c r="F60" s="35" t="n">
        <v>0</v>
      </c>
      <c r="G60" s="35" t="n">
        <v>0</v>
      </c>
      <c r="H60" s="35" t="n">
        <v>0</v>
      </c>
      <c r="I60" s="35" t="n">
        <v>0</v>
      </c>
      <c r="J60" s="35" t="n">
        <v>0</v>
      </c>
      <c r="K60" s="35" t="n">
        <v>0</v>
      </c>
      <c r="L60" s="35" t="n">
        <v>0</v>
      </c>
      <c r="M60" s="35" t="n">
        <v>0</v>
      </c>
      <c r="N60" s="35" t="n">
        <v>0</v>
      </c>
      <c r="O60" s="35" t="n">
        <v>0</v>
      </c>
      <c r="P60" s="35" t="n">
        <v>0</v>
      </c>
      <c r="Q60" s="35" t="n">
        <v>0</v>
      </c>
      <c r="R60" s="35" t="n">
        <v>0</v>
      </c>
      <c r="S60" s="35" t="n">
        <v>0</v>
      </c>
      <c r="T60" s="35" t="n">
        <v>0</v>
      </c>
      <c r="U60" s="35" t="n">
        <v>0</v>
      </c>
      <c r="V60" s="35" t="n">
        <v>0</v>
      </c>
      <c r="W60" s="35" t="n">
        <v>0</v>
      </c>
      <c r="X60" s="35" t="n">
        <v>0</v>
      </c>
      <c r="Y60" s="35" t="n">
        <v>0</v>
      </c>
      <c r="Z60" s="35" t="n">
        <v>0</v>
      </c>
      <c r="AA60" s="35" t="n">
        <v>0</v>
      </c>
      <c r="AB60" s="35" t="n">
        <v>0</v>
      </c>
      <c r="AC60" s="35" t="n">
        <v>0</v>
      </c>
      <c r="AD60" s="35" t="n">
        <v>0</v>
      </c>
      <c r="AE60" s="35" t="n">
        <v>0</v>
      </c>
      <c r="AF60" s="35" t="n">
        <v>0</v>
      </c>
      <c r="AG60" s="35">
        <f>+AF60</f>
        <v/>
      </c>
      <c r="AH60" s="35">
        <f>+AG60</f>
        <v/>
      </c>
      <c r="AI60" s="35">
        <f>+AH60</f>
        <v/>
      </c>
      <c r="AJ60" s="35">
        <f>SUM(C60:AI60)</f>
        <v/>
      </c>
      <c r="AK60" s="35">
        <f>B60-AJ60</f>
        <v/>
      </c>
    </row>
    <row r="61" ht="14.25" customHeight="1" s="134">
      <c r="A61" s="94" t="inlineStr">
        <is>
          <t>SUBTOTAL EGRESOS DE OBRA DE ADOQUINADO - 6000 M2</t>
        </is>
      </c>
      <c r="B61" s="159">
        <f>+SUM(B59:B60)</f>
        <v/>
      </c>
      <c r="C61" s="160">
        <f>+B61/6000</f>
        <v/>
      </c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</row>
    <row r="62" ht="15.6" customHeight="1" s="134">
      <c r="A62" s="72" t="inlineStr">
        <is>
          <t>Remodelación 900m2</t>
        </is>
      </c>
      <c r="B62" s="65">
        <f>900*40</f>
        <v/>
      </c>
      <c r="C62" s="161">
        <f>+B62/900</f>
        <v/>
      </c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0</v>
      </c>
      <c r="L62" s="65">
        <f>+B62/6</f>
        <v/>
      </c>
      <c r="M62" s="65">
        <f>+L62</f>
        <v/>
      </c>
      <c r="N62" s="65">
        <f>+M62</f>
        <v/>
      </c>
      <c r="O62" s="65">
        <f>+N62/2</f>
        <v/>
      </c>
      <c r="P62" s="65">
        <f>+N62</f>
        <v/>
      </c>
      <c r="Q62" s="65">
        <f>+P62</f>
        <v/>
      </c>
      <c r="R62" s="35">
        <f>+O62</f>
        <v/>
      </c>
      <c r="S62" s="35" t="n">
        <v>0</v>
      </c>
      <c r="T62" s="35" t="n">
        <v>0</v>
      </c>
      <c r="U62" s="35" t="n">
        <v>0</v>
      </c>
      <c r="V62" s="35" t="n">
        <v>0</v>
      </c>
      <c r="W62" s="35" t="n">
        <v>0</v>
      </c>
      <c r="X62" s="35" t="n">
        <v>0</v>
      </c>
      <c r="Y62" s="35" t="n">
        <v>0</v>
      </c>
      <c r="Z62" s="35" t="n">
        <v>0</v>
      </c>
      <c r="AA62" s="35" t="n">
        <v>0</v>
      </c>
      <c r="AB62" s="35" t="n">
        <v>0</v>
      </c>
      <c r="AC62" s="35" t="n">
        <v>0</v>
      </c>
      <c r="AD62" s="35" t="n">
        <v>0</v>
      </c>
      <c r="AE62" s="35" t="n">
        <v>0</v>
      </c>
      <c r="AF62" s="35" t="n">
        <v>0</v>
      </c>
      <c r="AG62" s="35" t="n">
        <v>0</v>
      </c>
      <c r="AH62" s="35" t="n">
        <v>0</v>
      </c>
      <c r="AI62" s="35" t="n">
        <v>0</v>
      </c>
      <c r="AJ62" s="35">
        <f>SUM(D62:AI62)</f>
        <v/>
      </c>
      <c r="AK62" s="35">
        <f>B62-AJ62</f>
        <v/>
      </c>
    </row>
    <row r="63" ht="15.6" customHeight="1" s="134">
      <c r="A63" s="73" t="inlineStr">
        <is>
          <t>Bodegas nuevas 432m2</t>
        </is>
      </c>
      <c r="B63" s="65">
        <f>432*C36</f>
        <v/>
      </c>
      <c r="C63" s="161">
        <f>+B63/432</f>
        <v/>
      </c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0</v>
      </c>
      <c r="L63" s="35" t="n">
        <v>0</v>
      </c>
      <c r="M63" s="35" t="n">
        <v>0</v>
      </c>
      <c r="N63" s="35" t="n">
        <v>0</v>
      </c>
      <c r="O63" s="35" t="n">
        <v>0</v>
      </c>
      <c r="P63" s="35" t="n">
        <v>0</v>
      </c>
      <c r="Q63" s="35" t="n">
        <v>0</v>
      </c>
      <c r="R63" s="35" t="n">
        <v>0</v>
      </c>
      <c r="S63" s="35" t="n">
        <v>0</v>
      </c>
      <c r="T63" s="35" t="n">
        <v>0</v>
      </c>
      <c r="U63" s="35" t="n">
        <v>0</v>
      </c>
      <c r="V63" s="35" t="n">
        <v>0</v>
      </c>
      <c r="W63" s="35" t="n">
        <v>0</v>
      </c>
      <c r="X63" s="35" t="n">
        <v>0</v>
      </c>
      <c r="Y63" s="35">
        <f>+B63/8</f>
        <v/>
      </c>
      <c r="Z63" s="35">
        <f>+Y63</f>
        <v/>
      </c>
      <c r="AA63" s="35">
        <f>+Z63</f>
        <v/>
      </c>
      <c r="AB63" s="35">
        <f>+AA63</f>
        <v/>
      </c>
      <c r="AC63" s="35">
        <f>+AB63</f>
        <v/>
      </c>
      <c r="AD63" s="35">
        <f>+AC63</f>
        <v/>
      </c>
      <c r="AE63" s="35">
        <f>+AD63</f>
        <v/>
      </c>
      <c r="AF63" s="35">
        <f>+AE63</f>
        <v/>
      </c>
      <c r="AG63" s="35" t="n">
        <v>0</v>
      </c>
      <c r="AH63" s="35" t="n">
        <v>0</v>
      </c>
      <c r="AI63" s="35" t="n">
        <v>0</v>
      </c>
      <c r="AJ63" s="35">
        <f>SUM(D63:AI63)</f>
        <v/>
      </c>
      <c r="AK63" s="35">
        <f>B63-AJ63</f>
        <v/>
      </c>
    </row>
    <row r="64" ht="15.6" customHeight="1" s="134">
      <c r="A64" s="74" t="inlineStr">
        <is>
          <t>Readecuación 750m2</t>
        </is>
      </c>
      <c r="B64" s="65">
        <f>750*C36</f>
        <v/>
      </c>
      <c r="C64" s="161">
        <f>+B64/750</f>
        <v/>
      </c>
      <c r="D64" s="35" t="n">
        <v>0</v>
      </c>
      <c r="E64" s="35" t="n">
        <v>0</v>
      </c>
      <c r="F64" s="35" t="n">
        <v>0</v>
      </c>
      <c r="G64" s="35" t="n">
        <v>0</v>
      </c>
      <c r="H64" s="35" t="n">
        <v>0</v>
      </c>
      <c r="I64" s="35" t="n">
        <v>0</v>
      </c>
      <c r="J64" s="35" t="n">
        <v>0</v>
      </c>
      <c r="K64" s="35" t="n">
        <v>0</v>
      </c>
      <c r="L64" s="65">
        <f>+B64/12</f>
        <v/>
      </c>
      <c r="M64" s="65">
        <f>+L64</f>
        <v/>
      </c>
      <c r="N64" s="65">
        <f>+M64</f>
        <v/>
      </c>
      <c r="O64" s="65">
        <f>+N64/2</f>
        <v/>
      </c>
      <c r="P64" s="65">
        <f>+N64</f>
        <v/>
      </c>
      <c r="Q64" s="65">
        <f>+P64</f>
        <v/>
      </c>
      <c r="R64" s="65">
        <f>+Q64</f>
        <v/>
      </c>
      <c r="S64" s="65">
        <f>+R64</f>
        <v/>
      </c>
      <c r="T64" s="65">
        <f>+S64</f>
        <v/>
      </c>
      <c r="U64" s="65">
        <f>+T64</f>
        <v/>
      </c>
      <c r="V64" s="65">
        <f>+U64</f>
        <v/>
      </c>
      <c r="W64" s="65">
        <f>+V64</f>
        <v/>
      </c>
      <c r="X64" s="65">
        <f>+O64</f>
        <v/>
      </c>
      <c r="Y64" s="35" t="n">
        <v>0</v>
      </c>
      <c r="Z64" s="35" t="n">
        <v>0</v>
      </c>
      <c r="AA64" s="35" t="n">
        <v>0</v>
      </c>
      <c r="AB64" s="35" t="n">
        <v>0</v>
      </c>
      <c r="AC64" s="35" t="n">
        <v>0</v>
      </c>
      <c r="AD64" s="35" t="n">
        <v>0</v>
      </c>
      <c r="AE64" s="35" t="n">
        <v>0</v>
      </c>
      <c r="AF64" s="35" t="n">
        <v>0</v>
      </c>
      <c r="AG64" s="35" t="n">
        <v>0</v>
      </c>
      <c r="AH64" s="35" t="n">
        <v>0</v>
      </c>
      <c r="AI64" s="35" t="n">
        <v>0</v>
      </c>
      <c r="AJ64" s="35">
        <f>SUM(D64:AI64)</f>
        <v/>
      </c>
      <c r="AK64" s="35">
        <f>B64-AJ64</f>
        <v/>
      </c>
    </row>
    <row r="65" ht="15.6" customHeight="1" s="134">
      <c r="A65" s="75" t="inlineStr">
        <is>
          <t>Bodegas nuevas 600m2</t>
        </is>
      </c>
      <c r="B65" s="65">
        <f>600*C36</f>
        <v/>
      </c>
      <c r="C65" s="161">
        <f>+B65/600</f>
        <v/>
      </c>
      <c r="D65" s="35" t="n">
        <v>0</v>
      </c>
      <c r="E65" s="35" t="n">
        <v>0</v>
      </c>
      <c r="F65" s="35" t="n">
        <v>0</v>
      </c>
      <c r="G65" s="35" t="n">
        <v>0</v>
      </c>
      <c r="H65" s="35" t="n">
        <v>0</v>
      </c>
      <c r="I65" s="35" t="n">
        <v>0</v>
      </c>
      <c r="J65" s="35" t="n">
        <v>0</v>
      </c>
      <c r="K65" s="35" t="n">
        <v>0</v>
      </c>
      <c r="L65" s="35" t="n">
        <v>0</v>
      </c>
      <c r="M65" s="35" t="n">
        <v>0</v>
      </c>
      <c r="N65" s="35" t="n">
        <v>0</v>
      </c>
      <c r="O65" s="35" t="n">
        <v>0</v>
      </c>
      <c r="P65" s="35" t="n">
        <v>0</v>
      </c>
      <c r="Q65" s="35" t="n">
        <v>0</v>
      </c>
      <c r="R65" s="35" t="n">
        <v>0</v>
      </c>
      <c r="S65" s="35" t="n">
        <v>0</v>
      </c>
      <c r="T65" s="35" t="n">
        <v>0</v>
      </c>
      <c r="U65" s="35" t="n">
        <v>0</v>
      </c>
      <c r="V65" s="35" t="n">
        <v>0</v>
      </c>
      <c r="W65" s="35" t="n">
        <v>0</v>
      </c>
      <c r="X65" s="65">
        <f>+B65/12</f>
        <v/>
      </c>
      <c r="Y65" s="65">
        <f>+X65</f>
        <v/>
      </c>
      <c r="Z65" s="65">
        <f>+Y65</f>
        <v/>
      </c>
      <c r="AA65" s="65">
        <f>+Z65</f>
        <v/>
      </c>
      <c r="AB65" s="65">
        <f>+AA65</f>
        <v/>
      </c>
      <c r="AC65" s="65">
        <f>+AB65</f>
        <v/>
      </c>
      <c r="AD65" s="65">
        <f>+AC65</f>
        <v/>
      </c>
      <c r="AE65" s="65">
        <f>+AD65</f>
        <v/>
      </c>
      <c r="AF65" s="65">
        <f>+AE65</f>
        <v/>
      </c>
      <c r="AG65" s="65">
        <f>+AF65</f>
        <v/>
      </c>
      <c r="AH65" s="65">
        <f>+AG65</f>
        <v/>
      </c>
      <c r="AI65" s="65">
        <f>+AH65</f>
        <v/>
      </c>
      <c r="AJ65" s="35">
        <f>SUM(D65:AI65)</f>
        <v/>
      </c>
      <c r="AK65" s="35">
        <f>B65-AJ65</f>
        <v/>
      </c>
    </row>
    <row r="66" ht="14.25" customHeight="1" s="134">
      <c r="A66" s="92" t="inlineStr">
        <is>
          <t>SUBTOTAL EGRESOS DE OBRA</t>
        </is>
      </c>
      <c r="B66" s="162">
        <f>+B65+B64+B63+B62+B61+B58+B53+B46+B36</f>
        <v/>
      </c>
      <c r="C66" s="163">
        <f>+(B66-B61)/(600+750+432+900+680+150+1300)</f>
        <v/>
      </c>
      <c r="D66" s="38">
        <f>SUM(D23:D65)</f>
        <v/>
      </c>
      <c r="E66" s="38">
        <f>SUM(E23:E65)</f>
        <v/>
      </c>
      <c r="F66" s="38">
        <f>SUM(F23:F65)</f>
        <v/>
      </c>
      <c r="G66" s="38">
        <f>SUM(G23:G65)</f>
        <v/>
      </c>
      <c r="H66" s="38">
        <f>SUM(H23:H65)</f>
        <v/>
      </c>
      <c r="I66" s="38">
        <f>SUM(I23:I65)</f>
        <v/>
      </c>
      <c r="J66" s="38">
        <f>SUM(J23:J65)</f>
        <v/>
      </c>
      <c r="K66" s="38">
        <f>SUM(K23:K65)</f>
        <v/>
      </c>
      <c r="L66" s="38">
        <f>SUM(L23:L65)</f>
        <v/>
      </c>
      <c r="M66" s="38">
        <f>SUM(M23:M65)</f>
        <v/>
      </c>
      <c r="N66" s="38">
        <f>SUM(N23:N65)</f>
        <v/>
      </c>
      <c r="O66" s="38">
        <f>SUM(O23:O65)</f>
        <v/>
      </c>
      <c r="P66" s="38">
        <f>SUM(P23:P65)</f>
        <v/>
      </c>
      <c r="Q66" s="38">
        <f>SUM(Q23:Q65)</f>
        <v/>
      </c>
      <c r="R66" s="38">
        <f>SUM(R23:R65)</f>
        <v/>
      </c>
      <c r="S66" s="38">
        <f>SUM(S23:S65)</f>
        <v/>
      </c>
      <c r="T66" s="38">
        <f>SUM(T23:T65)</f>
        <v/>
      </c>
      <c r="U66" s="38">
        <f>SUM(U23:U65)</f>
        <v/>
      </c>
      <c r="V66" s="38">
        <f>SUM(V23:V65)</f>
        <v/>
      </c>
      <c r="W66" s="38">
        <f>SUM(W23:W65)</f>
        <v/>
      </c>
      <c r="X66" s="38">
        <f>SUM(X23:X65)</f>
        <v/>
      </c>
      <c r="Y66" s="38">
        <f>SUM(Y23:Y65)</f>
        <v/>
      </c>
      <c r="Z66" s="38">
        <f>SUM(Z23:Z65)</f>
        <v/>
      </c>
      <c r="AA66" s="38">
        <f>SUM(AA23:AA65)</f>
        <v/>
      </c>
      <c r="AB66" s="38">
        <f>SUM(AB23:AB65)</f>
        <v/>
      </c>
      <c r="AC66" s="38">
        <f>SUM(AC23:AC65)</f>
        <v/>
      </c>
      <c r="AD66" s="38">
        <f>SUM(AD23:AD65)</f>
        <v/>
      </c>
      <c r="AE66" s="38">
        <f>SUM(AE23:AE65)</f>
        <v/>
      </c>
      <c r="AF66" s="38">
        <f>SUM(AF23:AF65)</f>
        <v/>
      </c>
      <c r="AG66" s="38">
        <f>SUM(AG23:AG65)</f>
        <v/>
      </c>
      <c r="AH66" s="38">
        <f>SUM(AH23:AH65)</f>
        <v/>
      </c>
      <c r="AI66" s="38">
        <f>SUM(AI23:AI65)</f>
        <v/>
      </c>
      <c r="AJ66" s="38">
        <f>SUM(AJ23:AJ65)</f>
        <v/>
      </c>
      <c r="AK66" s="38">
        <f>SUM(AK23:AK65)</f>
        <v/>
      </c>
    </row>
    <row r="67" ht="14.25" customHeight="1" s="134"/>
    <row r="68" ht="18" customHeight="1" s="134">
      <c r="A68" s="48" t="inlineStr">
        <is>
          <t>TOTAL EGRESOS (fijos + obra)</t>
        </is>
      </c>
      <c r="B68" s="49" t="n"/>
      <c r="C68" s="49" t="n"/>
      <c r="D68" s="50">
        <f>D21+D66</f>
        <v/>
      </c>
      <c r="E68" s="50">
        <f>E21+E66</f>
        <v/>
      </c>
      <c r="F68" s="50">
        <f>F21+F66</f>
        <v/>
      </c>
      <c r="G68" s="50">
        <f>G21+G66</f>
        <v/>
      </c>
      <c r="H68" s="50">
        <f>H21+H66</f>
        <v/>
      </c>
      <c r="I68" s="50">
        <f>I21+I66</f>
        <v/>
      </c>
      <c r="J68" s="50">
        <f>J21+J66</f>
        <v/>
      </c>
      <c r="K68" s="50">
        <f>K21+K66</f>
        <v/>
      </c>
      <c r="L68" s="50">
        <f>L21+L66</f>
        <v/>
      </c>
      <c r="M68" s="50">
        <f>M21+M66</f>
        <v/>
      </c>
      <c r="N68" s="50">
        <f>N21+N66</f>
        <v/>
      </c>
      <c r="O68" s="50">
        <f>O21+O66</f>
        <v/>
      </c>
      <c r="P68" s="50">
        <f>P21+P66</f>
        <v/>
      </c>
      <c r="Q68" s="50">
        <f>Q21+Q66</f>
        <v/>
      </c>
      <c r="R68" s="50">
        <f>R21+R66</f>
        <v/>
      </c>
      <c r="S68" s="50">
        <f>S21+S66</f>
        <v/>
      </c>
      <c r="T68" s="50">
        <f>T21+T66</f>
        <v/>
      </c>
      <c r="U68" s="50">
        <f>U21+U66</f>
        <v/>
      </c>
      <c r="V68" s="50">
        <f>V21+V66</f>
        <v/>
      </c>
      <c r="W68" s="50">
        <f>W21+W66</f>
        <v/>
      </c>
      <c r="X68" s="50">
        <f>X21+X66</f>
        <v/>
      </c>
      <c r="Y68" s="50">
        <f>Y21+Y66</f>
        <v/>
      </c>
      <c r="Z68" s="50">
        <f>Z21+Z66</f>
        <v/>
      </c>
      <c r="AA68" s="50">
        <f>AA21+AA66</f>
        <v/>
      </c>
      <c r="AB68" s="50">
        <f>AB21+AB66</f>
        <v/>
      </c>
      <c r="AC68" s="50">
        <f>AC21+AC66</f>
        <v/>
      </c>
      <c r="AD68" s="50">
        <f>AD21+AD66</f>
        <v/>
      </c>
      <c r="AE68" s="50">
        <f>AE21+AE66</f>
        <v/>
      </c>
      <c r="AF68" s="50">
        <f>AF21+AF66</f>
        <v/>
      </c>
      <c r="AG68" s="50">
        <f>AG21+AG66</f>
        <v/>
      </c>
      <c r="AH68" s="50">
        <f>AH21+AH66</f>
        <v/>
      </c>
      <c r="AI68" s="50">
        <f>AI21+AI66</f>
        <v/>
      </c>
      <c r="AJ68" s="49" t="n"/>
      <c r="AK68" s="49" t="n"/>
      <c r="AL68" s="49" t="n"/>
      <c r="AM68" s="49" t="n"/>
      <c r="AN68" s="49" t="n"/>
      <c r="AO68" s="49" t="n"/>
      <c r="AP68" s="49" t="n"/>
      <c r="AQ68" s="49" t="n"/>
    </row>
    <row r="69" ht="18" customHeight="1" s="134">
      <c r="A69" s="15" t="inlineStr">
        <is>
          <t>FLUJO NETO DE LA SEMANA</t>
        </is>
      </c>
      <c r="B69" s="49" t="n"/>
      <c r="C69" s="49" t="n"/>
      <c r="D69" s="51">
        <f>D11-D68</f>
        <v/>
      </c>
      <c r="E69" s="51">
        <f>E11-E68</f>
        <v/>
      </c>
      <c r="F69" s="51">
        <f>F11-F68</f>
        <v/>
      </c>
      <c r="G69" s="51">
        <f>G11-G68</f>
        <v/>
      </c>
      <c r="H69" s="51">
        <f>H11-H68</f>
        <v/>
      </c>
      <c r="I69" s="51">
        <f>I11-I68</f>
        <v/>
      </c>
      <c r="J69" s="51">
        <f>J11-J68</f>
        <v/>
      </c>
      <c r="K69" s="51">
        <f>K11-K68</f>
        <v/>
      </c>
      <c r="L69" s="51">
        <f>L11-L68</f>
        <v/>
      </c>
      <c r="M69" s="51">
        <f>M11-M68</f>
        <v/>
      </c>
      <c r="N69" s="51">
        <f>N11-N68</f>
        <v/>
      </c>
      <c r="O69" s="51">
        <f>O11-O68</f>
        <v/>
      </c>
      <c r="P69" s="51">
        <f>P11-P68</f>
        <v/>
      </c>
      <c r="Q69" s="51">
        <f>Q11-Q68</f>
        <v/>
      </c>
      <c r="R69" s="51">
        <f>R11-R68</f>
        <v/>
      </c>
      <c r="S69" s="51">
        <f>S11-S68</f>
        <v/>
      </c>
      <c r="T69" s="51">
        <f>T11-T68</f>
        <v/>
      </c>
      <c r="U69" s="51">
        <f>U11-U68</f>
        <v/>
      </c>
      <c r="V69" s="51">
        <f>V11-V68</f>
        <v/>
      </c>
      <c r="W69" s="51">
        <f>W11-W68</f>
        <v/>
      </c>
      <c r="X69" s="51">
        <f>X11-X68</f>
        <v/>
      </c>
      <c r="Y69" s="51">
        <f>Y11-Y68</f>
        <v/>
      </c>
      <c r="Z69" s="51">
        <f>Z11-Z68</f>
        <v/>
      </c>
      <c r="AA69" s="51">
        <f>AA11-AA68</f>
        <v/>
      </c>
      <c r="AB69" s="51">
        <f>AB11-AB68</f>
        <v/>
      </c>
      <c r="AC69" s="51">
        <f>AC11-AC68</f>
        <v/>
      </c>
      <c r="AD69" s="51">
        <f>AD11-AD68</f>
        <v/>
      </c>
      <c r="AE69" s="51">
        <f>AE11-AE68</f>
        <v/>
      </c>
      <c r="AF69" s="51">
        <f>AF11-AF68</f>
        <v/>
      </c>
      <c r="AG69" s="51">
        <f>AG11-AG68</f>
        <v/>
      </c>
      <c r="AH69" s="51">
        <f>AH11-AH68</f>
        <v/>
      </c>
      <c r="AI69" s="51">
        <f>AI11-AI68</f>
        <v/>
      </c>
      <c r="AJ69" s="49" t="n"/>
      <c r="AK69" s="49" t="n"/>
      <c r="AL69" s="49" t="n"/>
      <c r="AM69" s="49" t="n"/>
      <c r="AN69" s="49" t="n"/>
      <c r="AO69" s="49" t="n"/>
      <c r="AP69" s="49" t="n"/>
      <c r="AQ69" s="49" t="n"/>
    </row>
    <row r="70" ht="18" customHeight="1" s="134">
      <c r="A70" s="24" t="inlineStr">
        <is>
          <t>SALDO FINAL DE CAJA</t>
        </is>
      </c>
      <c r="B70" s="49" t="n"/>
      <c r="C70" s="49" t="n"/>
      <c r="D70" s="52">
        <f>D6+D69</f>
        <v/>
      </c>
      <c r="E70" s="52">
        <f>E6+E69</f>
        <v/>
      </c>
      <c r="F70" s="52">
        <f>F6+F69</f>
        <v/>
      </c>
      <c r="G70" s="52">
        <f>G6+G69</f>
        <v/>
      </c>
      <c r="H70" s="52">
        <f>H6+H69</f>
        <v/>
      </c>
      <c r="I70" s="52">
        <f>I6+I69</f>
        <v/>
      </c>
      <c r="J70" s="52">
        <f>J6+J69</f>
        <v/>
      </c>
      <c r="K70" s="52">
        <f>K6+K69</f>
        <v/>
      </c>
      <c r="L70" s="52">
        <f>L6+L69</f>
        <v/>
      </c>
      <c r="M70" s="52">
        <f>M6+M69</f>
        <v/>
      </c>
      <c r="N70" s="52">
        <f>N6+N69</f>
        <v/>
      </c>
      <c r="O70" s="52">
        <f>O6+O69</f>
        <v/>
      </c>
      <c r="P70" s="52">
        <f>P6+P69</f>
        <v/>
      </c>
      <c r="Q70" s="52">
        <f>Q6+Q69</f>
        <v/>
      </c>
      <c r="R70" s="52">
        <f>R6+R69</f>
        <v/>
      </c>
      <c r="S70" s="52">
        <f>S6+S69</f>
        <v/>
      </c>
      <c r="T70" s="52">
        <f>T6+T69</f>
        <v/>
      </c>
      <c r="U70" s="52">
        <f>U6+U69</f>
        <v/>
      </c>
      <c r="V70" s="52">
        <f>V6+V69</f>
        <v/>
      </c>
      <c r="W70" s="52">
        <f>W6+W69</f>
        <v/>
      </c>
      <c r="X70" s="52">
        <f>X6+X69</f>
        <v/>
      </c>
      <c r="Y70" s="52">
        <f>Y6+Y69</f>
        <v/>
      </c>
      <c r="Z70" s="52">
        <f>Z6+Z69</f>
        <v/>
      </c>
      <c r="AA70" s="52">
        <f>AA6+AA69</f>
        <v/>
      </c>
      <c r="AB70" s="52">
        <f>AB6+AB69</f>
        <v/>
      </c>
      <c r="AC70" s="52">
        <f>AC6+AC69</f>
        <v/>
      </c>
      <c r="AD70" s="52">
        <f>AD6+AD69</f>
        <v/>
      </c>
      <c r="AE70" s="52">
        <f>AE6+AE69</f>
        <v/>
      </c>
      <c r="AF70" s="52">
        <f>AF6+AF69</f>
        <v/>
      </c>
      <c r="AG70" s="52">
        <f>AG6+AG69</f>
        <v/>
      </c>
      <c r="AH70" s="52">
        <f>AH6+AH69</f>
        <v/>
      </c>
      <c r="AI70" s="52">
        <f>AI6+AI69</f>
        <v/>
      </c>
      <c r="AJ70" s="49" t="n"/>
      <c r="AK70" s="49" t="n"/>
      <c r="AL70" s="49" t="n"/>
      <c r="AM70" s="49" t="n"/>
      <c r="AN70" s="49" t="n"/>
      <c r="AO70" s="49" t="n"/>
      <c r="AP70" s="49" t="n"/>
      <c r="AQ70" s="49" t="n"/>
    </row>
    <row r="71" ht="14.25" customHeight="1" s="134"/>
    <row r="72" ht="14.25" customHeight="1" s="134">
      <c r="A72" s="39" t="inlineStr">
        <is>
          <t>Caja mínima de seguridad (referencia)</t>
        </is>
      </c>
      <c r="D72" s="53">
        <f>PARAMETROS!$B$28</f>
        <v/>
      </c>
      <c r="E72" s="53">
        <f>PARAMETROS!$B$28</f>
        <v/>
      </c>
      <c r="F72" s="53">
        <f>PARAMETROS!$B$28</f>
        <v/>
      </c>
      <c r="G72" s="53">
        <f>PARAMETROS!$B$28</f>
        <v/>
      </c>
      <c r="H72" s="53">
        <f>PARAMETROS!$B$28</f>
        <v/>
      </c>
      <c r="I72" s="53">
        <f>PARAMETROS!$B$28</f>
        <v/>
      </c>
      <c r="J72" s="53">
        <f>PARAMETROS!$B$28</f>
        <v/>
      </c>
      <c r="K72" s="53">
        <f>PARAMETROS!$B$28</f>
        <v/>
      </c>
      <c r="L72" s="53">
        <f>PARAMETROS!$B$28</f>
        <v/>
      </c>
      <c r="M72" s="53">
        <f>PARAMETROS!$B$28</f>
        <v/>
      </c>
      <c r="N72" s="53">
        <f>PARAMETROS!$B$28</f>
        <v/>
      </c>
      <c r="O72" s="53">
        <f>PARAMETROS!$B$28</f>
        <v/>
      </c>
      <c r="P72" s="53">
        <f>PARAMETROS!$B$28</f>
        <v/>
      </c>
      <c r="Q72" s="53">
        <f>PARAMETROS!$B$28</f>
        <v/>
      </c>
      <c r="R72" s="53">
        <f>PARAMETROS!$B$28</f>
        <v/>
      </c>
      <c r="S72" s="53">
        <f>PARAMETROS!$B$28</f>
        <v/>
      </c>
      <c r="T72" s="53">
        <f>PARAMETROS!$B$28</f>
        <v/>
      </c>
      <c r="U72" s="53">
        <f>PARAMETROS!$B$28</f>
        <v/>
      </c>
      <c r="V72" s="53">
        <f>PARAMETROS!$B$28</f>
        <v/>
      </c>
      <c r="W72" s="53">
        <f>PARAMETROS!$B$28</f>
        <v/>
      </c>
      <c r="X72" s="53">
        <f>PARAMETROS!$B$28</f>
        <v/>
      </c>
      <c r="Y72" s="53">
        <f>PARAMETROS!$B$28</f>
        <v/>
      </c>
      <c r="Z72" s="53">
        <f>PARAMETROS!$B$28</f>
        <v/>
      </c>
      <c r="AA72" s="53">
        <f>PARAMETROS!$B$28</f>
        <v/>
      </c>
      <c r="AB72" s="53">
        <f>PARAMETROS!$B$28</f>
        <v/>
      </c>
      <c r="AC72" s="53">
        <f>PARAMETROS!$B$28</f>
        <v/>
      </c>
      <c r="AD72" s="53">
        <f>PARAMETROS!$B$28</f>
        <v/>
      </c>
      <c r="AE72" s="53">
        <f>PARAMETROS!$B$28</f>
        <v/>
      </c>
      <c r="AF72" s="53">
        <f>PARAMETROS!$B$28</f>
        <v/>
      </c>
      <c r="AG72" s="53">
        <f>PARAMETROS!$B$28</f>
        <v/>
      </c>
      <c r="AH72" s="53">
        <f>PARAMETROS!$B$28</f>
        <v/>
      </c>
      <c r="AI72" s="53">
        <f>PARAMETROS!$B$28</f>
        <v/>
      </c>
    </row>
    <row r="73" ht="14.25" customHeight="1" s="134">
      <c r="A73" s="39" t="inlineStr">
        <is>
          <t>Colchón sobre el mínimo (saldo final − mínimo)</t>
        </is>
      </c>
      <c r="D73" s="54">
        <f>D70-D72</f>
        <v/>
      </c>
      <c r="E73" s="54">
        <f>E70-E72</f>
        <v/>
      </c>
      <c r="F73" s="54">
        <f>F70-F72</f>
        <v/>
      </c>
      <c r="G73" s="54">
        <f>G70-G72</f>
        <v/>
      </c>
      <c r="H73" s="54">
        <f>H70-H72</f>
        <v/>
      </c>
      <c r="I73" s="54">
        <f>I70-I72</f>
        <v/>
      </c>
      <c r="J73" s="54">
        <f>J70-J72</f>
        <v/>
      </c>
      <c r="K73" s="54">
        <f>K70-K72</f>
        <v/>
      </c>
      <c r="L73" s="54">
        <f>L70-L72</f>
        <v/>
      </c>
      <c r="M73" s="54">
        <f>M70-M72</f>
        <v/>
      </c>
      <c r="N73" s="54">
        <f>N70-N72</f>
        <v/>
      </c>
      <c r="O73" s="54">
        <f>O70-O72</f>
        <v/>
      </c>
      <c r="P73" s="54">
        <f>P70-P72</f>
        <v/>
      </c>
      <c r="Q73" s="54">
        <f>Q70-Q72</f>
        <v/>
      </c>
      <c r="R73" s="54">
        <f>R70-R72</f>
        <v/>
      </c>
      <c r="S73" s="54">
        <f>S70-S72</f>
        <v/>
      </c>
      <c r="T73" s="54">
        <f>T70-T72</f>
        <v/>
      </c>
      <c r="U73" s="54">
        <f>U70-U72</f>
        <v/>
      </c>
      <c r="V73" s="54">
        <f>V70-V72</f>
        <v/>
      </c>
      <c r="W73" s="54">
        <f>W70-W72</f>
        <v/>
      </c>
      <c r="X73" s="54">
        <f>X70-X72</f>
        <v/>
      </c>
      <c r="Y73" s="54">
        <f>Y70-Y72</f>
        <v/>
      </c>
      <c r="Z73" s="54">
        <f>Z70-Z72</f>
        <v/>
      </c>
      <c r="AA73" s="54">
        <f>AA70-AA72</f>
        <v/>
      </c>
      <c r="AB73" s="54">
        <f>AB70-AB72</f>
        <v/>
      </c>
      <c r="AC73" s="54">
        <f>AC70-AC72</f>
        <v/>
      </c>
      <c r="AD73" s="54">
        <f>AD70-AD72</f>
        <v/>
      </c>
      <c r="AE73" s="54">
        <f>AE70-AE72</f>
        <v/>
      </c>
      <c r="AF73" s="54">
        <f>AF70-AF72</f>
        <v/>
      </c>
      <c r="AG73" s="54">
        <f>AG70-AG72</f>
        <v/>
      </c>
      <c r="AH73" s="54">
        <f>AH70-AH72</f>
        <v/>
      </c>
      <c r="AI73" s="54">
        <f>AI70-AI72</f>
        <v/>
      </c>
    </row>
    <row r="74" ht="14.25" customHeight="1" s="134">
      <c r="A74" s="15" t="inlineStr">
        <is>
          <t>ESTADO DE LA SEMANA</t>
        </is>
      </c>
      <c r="D74" s="55">
        <f>IF(D70&lt;0,"🔴 NEGATIVO",IF(D70&lt;D72,"🟠 ALERTA","🟢 OK"))</f>
        <v/>
      </c>
      <c r="E74" s="55">
        <f>IF(E70&lt;0,"🔴 NEGATIVO",IF(E70&lt;E72,"🟠 ALERTA","🟢 OK"))</f>
        <v/>
      </c>
      <c r="F74" s="55">
        <f>IF(F70&lt;0,"🔴 NEGATIVO",IF(F70&lt;F72,"🟠 ALERTA","🟢 OK"))</f>
        <v/>
      </c>
      <c r="G74" s="55">
        <f>IF(G70&lt;0,"🔴 NEGATIVO",IF(G70&lt;G72,"🟠 ALERTA","🟢 OK"))</f>
        <v/>
      </c>
      <c r="H74" s="55">
        <f>IF(H70&lt;0,"🔴 NEGATIVO",IF(H70&lt;H72,"🟠 ALERTA","🟢 OK"))</f>
        <v/>
      </c>
      <c r="I74" s="55">
        <f>IF(I70&lt;0,"🔴 NEGATIVO",IF(I70&lt;I72,"🟠 ALERTA","🟢 OK"))</f>
        <v/>
      </c>
      <c r="J74" s="55">
        <f>IF(J70&lt;0,"🔴 NEGATIVO",IF(J70&lt;J72,"🟠 ALERTA","🟢 OK"))</f>
        <v/>
      </c>
      <c r="K74" s="55">
        <f>IF(K70&lt;0,"🔴 NEGATIVO",IF(K70&lt;K72,"🟠 ALERTA","🟢 OK"))</f>
        <v/>
      </c>
      <c r="L74" s="55">
        <f>IF(L70&lt;0,"🔴 NEGATIVO",IF(L70&lt;L72,"🟠 ALERTA","🟢 OK"))</f>
        <v/>
      </c>
      <c r="M74" s="55">
        <f>IF(M70&lt;0,"🔴 NEGATIVO",IF(M70&lt;M72,"🟠 ALERTA","🟢 OK"))</f>
        <v/>
      </c>
      <c r="N74" s="55">
        <f>IF(N70&lt;0,"🔴 NEGATIVO",IF(N70&lt;N72,"🟠 ALERTA","🟢 OK"))</f>
        <v/>
      </c>
      <c r="O74" s="55">
        <f>IF(O70&lt;0,"🔴 NEGATIVO",IF(O70&lt;O72,"🟠 ALERTA","🟢 OK"))</f>
        <v/>
      </c>
      <c r="P74" s="55">
        <f>IF(P70&lt;0,"🔴 NEGATIVO",IF(P70&lt;P72,"🟠 ALERTA","🟢 OK"))</f>
        <v/>
      </c>
      <c r="Q74" s="55">
        <f>IF(Q70&lt;0,"🔴 NEGATIVO",IF(Q70&lt;Q72,"🟠 ALERTA","🟢 OK"))</f>
        <v/>
      </c>
      <c r="R74" s="55">
        <f>IF(R70&lt;0,"🔴 NEGATIVO",IF(R70&lt;R72,"🟠 ALERTA","🟢 OK"))</f>
        <v/>
      </c>
      <c r="S74" s="55">
        <f>IF(S70&lt;0,"🔴 NEGATIVO",IF(S70&lt;S72,"🟠 ALERTA","🟢 OK"))</f>
        <v/>
      </c>
      <c r="T74" s="55">
        <f>IF(T70&lt;0,"🔴 NEGATIVO",IF(T70&lt;T72,"🟠 ALERTA","🟢 OK"))</f>
        <v/>
      </c>
      <c r="U74" s="55">
        <f>IF(U70&lt;0,"🔴 NEGATIVO",IF(U70&lt;U72,"🟠 ALERTA","🟢 OK"))</f>
        <v/>
      </c>
      <c r="V74" s="55">
        <f>IF(V70&lt;0,"🔴 NEGATIVO",IF(V70&lt;V72,"🟠 ALERTA","🟢 OK"))</f>
        <v/>
      </c>
      <c r="W74" s="55">
        <f>IF(W70&lt;0,"🔴 NEGATIVO",IF(W70&lt;W72,"🟠 ALERTA","🟢 OK"))</f>
        <v/>
      </c>
      <c r="X74" s="55">
        <f>IF(X70&lt;0,"🔴 NEGATIVO",IF(X70&lt;X72,"🟠 ALERTA","🟢 OK"))</f>
        <v/>
      </c>
      <c r="Y74" s="55">
        <f>IF(Y70&lt;0,"🔴 NEGATIVO",IF(Y70&lt;Y72,"🟠 ALERTA","🟢 OK"))</f>
        <v/>
      </c>
      <c r="Z74" s="55">
        <f>IF(Z70&lt;0,"🔴 NEGATIVO",IF(Z70&lt;Z72,"🟠 ALERTA","🟢 OK"))</f>
        <v/>
      </c>
      <c r="AA74" s="55">
        <f>IF(AA70&lt;0,"🔴 NEGATIVO",IF(AA70&lt;AA72,"🟠 ALERTA","🟢 OK"))</f>
        <v/>
      </c>
      <c r="AB74" s="55">
        <f>IF(AB70&lt;0,"🔴 NEGATIVO",IF(AB70&lt;AB72,"🟠 ALERTA","🟢 OK"))</f>
        <v/>
      </c>
      <c r="AC74" s="55">
        <f>IF(AC70&lt;0,"🔴 NEGATIVO",IF(AC70&lt;AC72,"🟠 ALERTA","🟢 OK"))</f>
        <v/>
      </c>
      <c r="AD74" s="55">
        <f>IF(AD70&lt;0,"🔴 NEGATIVO",IF(AD70&lt;AD72,"🟠 ALERTA","🟢 OK"))</f>
        <v/>
      </c>
      <c r="AE74" s="55">
        <f>IF(AE70&lt;0,"🔴 NEGATIVO",IF(AE70&lt;AE72,"🟠 ALERTA","🟢 OK"))</f>
        <v/>
      </c>
      <c r="AF74" s="55">
        <f>IF(AF70&lt;0,"🔴 NEGATIVO",IF(AF70&lt;AF72,"🟠 ALERTA","🟢 OK"))</f>
        <v/>
      </c>
      <c r="AG74" s="55">
        <f>IF(AG70&lt;0,"🔴 NEGATIVO",IF(AG70&lt;AG72,"🟠 ALERTA","🟢 OK"))</f>
        <v/>
      </c>
      <c r="AH74" s="55">
        <f>IF(AH70&lt;0,"🔴 NEGATIVO",IF(AH70&lt;AH72,"🟠 ALERTA","🟢 OK"))</f>
        <v/>
      </c>
      <c r="AI74" s="55">
        <f>IF(AI70&lt;0,"🔴 NEGATIVO",IF(AI70&lt;AI72,"🟠 ALERTA","🟢 OK"))</f>
        <v/>
      </c>
    </row>
    <row r="75" ht="14.25" customHeight="1" s="134"/>
    <row r="76" ht="14.25" customHeight="1" s="134">
      <c r="A76" s="39" t="inlineStr">
        <is>
          <t>DÉFICIT PROYECTADO — mirando 1 semana adelante (plazo Agroaéreo)</t>
        </is>
      </c>
      <c r="D76" s="56">
        <f>MIN(0,E70-E72)</f>
        <v/>
      </c>
      <c r="E76" s="56">
        <f>MIN(0,F70-F72)</f>
        <v/>
      </c>
      <c r="F76" s="56">
        <f>MIN(0,G70-G72)</f>
        <v/>
      </c>
      <c r="G76" s="56">
        <f>MIN(0,H70-H72)</f>
        <v/>
      </c>
      <c r="H76" s="56">
        <f>MIN(0,I70-I72)</f>
        <v/>
      </c>
      <c r="I76" s="56">
        <f>MIN(0,J70-J72)</f>
        <v/>
      </c>
      <c r="J76" s="56">
        <f>MIN(0,K70-K72)</f>
        <v/>
      </c>
      <c r="K76" s="56">
        <f>MIN(0,L70-L72)</f>
        <v/>
      </c>
      <c r="L76" s="56">
        <f>MIN(0,M70-M72)</f>
        <v/>
      </c>
      <c r="M76" s="56">
        <f>MIN(0,N70-N72)</f>
        <v/>
      </c>
      <c r="N76" s="56">
        <f>MIN(0,O70-O72)</f>
        <v/>
      </c>
      <c r="O76" s="56">
        <f>MIN(0,P70-P72)</f>
        <v/>
      </c>
      <c r="P76" s="56">
        <f>MIN(0,Q70-Q72)</f>
        <v/>
      </c>
      <c r="Q76" s="56">
        <f>MIN(0,R70-R72)</f>
        <v/>
      </c>
      <c r="R76" s="56">
        <f>MIN(0,S70-S72)</f>
        <v/>
      </c>
      <c r="S76" s="56">
        <f>MIN(0,T70-T72)</f>
        <v/>
      </c>
      <c r="T76" s="56">
        <f>MIN(0,U70-U72)</f>
        <v/>
      </c>
      <c r="U76" s="56">
        <f>MIN(0,V70-V72)</f>
        <v/>
      </c>
      <c r="V76" s="56">
        <f>MIN(0,W70-W72)</f>
        <v/>
      </c>
      <c r="W76" s="56">
        <f>MIN(0,X70-X72)</f>
        <v/>
      </c>
      <c r="X76" s="56">
        <f>MIN(0,Y70-Y72)</f>
        <v/>
      </c>
      <c r="Y76" s="56">
        <f>MIN(0,Z70-Z72)</f>
        <v/>
      </c>
      <c r="Z76" s="56">
        <f>MIN(0,AA70-AA72)</f>
        <v/>
      </c>
      <c r="AA76" s="56">
        <f>MIN(0,AB70-AB72)</f>
        <v/>
      </c>
      <c r="AB76" s="56">
        <f>MIN(0,AC70-AC72)</f>
        <v/>
      </c>
      <c r="AC76" s="56">
        <f>MIN(0,AD70-AD72)</f>
        <v/>
      </c>
      <c r="AD76" s="56">
        <f>MIN(0,AE70-AE72)</f>
        <v/>
      </c>
      <c r="AE76" s="56">
        <f>MIN(0,AF70-AF72)</f>
        <v/>
      </c>
      <c r="AF76" s="56">
        <f>MIN(0,AG70-AG72)</f>
        <v/>
      </c>
      <c r="AG76" s="56">
        <f>MIN(0,AH70-AH72)</f>
        <v/>
      </c>
      <c r="AH76" s="56">
        <f>MIN(0,AI70-AI72)</f>
        <v/>
      </c>
      <c r="AI76" s="56">
        <f>MIN(0,AJ70-AJ72)</f>
        <v/>
      </c>
    </row>
    <row r="77" ht="55.5" customHeight="1" s="134">
      <c r="A77" s="57" t="inlineStr">
        <is>
          <t>➤ ACCIÓN: SOLICITAR A AGROAÉREO ESTA SEMANA</t>
        </is>
      </c>
      <c r="B77" s="49" t="n"/>
      <c r="C77" s="49" t="n"/>
      <c r="D77" s="58">
        <f>IF(D76&lt;0,"Pedir "&amp;TEXT(-D76,"$#,#0")&amp;" ahora para SEM 38","No se requiere")</f>
        <v/>
      </c>
      <c r="E77" s="58">
        <f>IF(E76&lt;0,"Pedir "&amp;TEXT(-E76,"$#,#0")&amp;" ahora para SEM 39","No se requiere")</f>
        <v/>
      </c>
      <c r="F77" s="58">
        <f>IF(F76&lt;0,"Pedir "&amp;TEXT(-F76,"$#,#0")&amp;" ahora para SEM 39","No se requiere")</f>
        <v/>
      </c>
      <c r="G77" s="58">
        <f>IF(G76&lt;0,"Pedir "&amp;TEXT(-G76,"$#,#0")&amp;" ahora para SEM 41","No se requiere")</f>
        <v/>
      </c>
      <c r="H77" s="58">
        <f>IF(H76&lt;0,"Pedir "&amp;TEXT(-H76,"$#,#0")&amp;" ahora para SEM 42","No se requiere")</f>
        <v/>
      </c>
      <c r="I77" s="58">
        <f>IF(I76&lt;0,"Pedir "&amp;TEXT(-I76,"$#,#0")&amp;" ahora para SEM 43","No se requiere")</f>
        <v/>
      </c>
      <c r="J77" s="58">
        <f>IF(J76&lt;0,"Pedir "&amp;TEXT(-J76,"$#,#0")&amp;" ahora para SEM 44","No se requiere")</f>
        <v/>
      </c>
      <c r="K77" s="58">
        <f>IF(K76&lt;0,"Pedir "&amp;TEXT(-K76,"$#,#0")&amp;" ahora para SEM 45","No se requiere")</f>
        <v/>
      </c>
      <c r="L77" s="58">
        <f>IF(L76&lt;0,"Pedir "&amp;TEXT(-L76,"$#,#0")&amp;" ahora para SEM 46","No se requiere")</f>
        <v/>
      </c>
      <c r="M77" s="58">
        <f>IF(M76&lt;0,"Pedir "&amp;TEXT(-M76,"$#,#0")&amp;" ahora para SEM 47","No se requiere")</f>
        <v/>
      </c>
      <c r="N77" s="58">
        <f>IF(N76&lt;0,"Pedir "&amp;TEXT(-N76,"$#,#0")&amp;" ahora para SEM 48","No se requiere")</f>
        <v/>
      </c>
      <c r="O77" s="58">
        <f>IF(O76&lt;0,"Pedir "&amp;TEXT(-O76,"$#,#0")&amp;" ahora para SEM 49","No se requiere")</f>
        <v/>
      </c>
      <c r="P77" s="58">
        <f>IF(P76&lt;0,"Pedir "&amp;TEXT(-P76,"$#,#0")&amp;" ahora para SEM 50","No se requiere")</f>
        <v/>
      </c>
      <c r="Q77" s="58">
        <f>IF(Q76&lt;0,"Pedir "&amp;TEXT(-Q76,"$#,#0")&amp;" ahora para SEM 51","No se requiere")</f>
        <v/>
      </c>
      <c r="R77" s="58">
        <f>IF(R76&lt;0,"Pedir "&amp;TEXT(-R76,"$#,#0")&amp;" ahora para SEM 52","No se requiere")</f>
        <v/>
      </c>
      <c r="S77" s="58">
        <f>IF(S76&lt;0,"Pedir "&amp;TEXT(-S76,"$#,#0")&amp;" ahora para SEM 52","No se requiere")</f>
        <v/>
      </c>
      <c r="T77" s="58">
        <f>IF(T76&lt;0,"Pedir "&amp;TEXT(-T76,"$#,#0")&amp;" ahora para SEM 52","No se requiere")</f>
        <v/>
      </c>
      <c r="U77" s="58">
        <f>IF(U76&lt;0,"Pedir "&amp;TEXT(-U76,"$#,#0")&amp;" ahora para SEM 52","No se requiere")</f>
        <v/>
      </c>
      <c r="V77" s="58">
        <f>IF(V76&lt;0,"Pedir "&amp;TEXT(-V76,"$#,#0")&amp;" ahora para SEM 52","No se requiere")</f>
        <v/>
      </c>
      <c r="W77" s="58">
        <f>IF(W76&lt;0,"Pedir "&amp;TEXT(-W76,"$#,#0")&amp;" ahora para SEM 52","No se requiere")</f>
        <v/>
      </c>
      <c r="X77" s="58">
        <f>IF(X76&lt;0,"Pedir "&amp;TEXT(-X76,"$#,#0")&amp;" ahora para SEM 52","No se requiere")</f>
        <v/>
      </c>
      <c r="Y77" s="58">
        <f>IF(Y76&lt;0,"Pedir "&amp;TEXT(-Y76,"$#,#0")&amp;" ahora para SEM 52","No se requiere")</f>
        <v/>
      </c>
      <c r="Z77" s="58">
        <f>IF(Z76&lt;0,"Pedir "&amp;TEXT(-Z76,"$#,#0")&amp;" ahora para SEM 52","No se requiere")</f>
        <v/>
      </c>
      <c r="AA77" s="58">
        <f>IF(AA76&lt;0,"Pedir "&amp;TEXT(-AA76,"$#,#0")&amp;" ahora para SEM 52","No se requiere")</f>
        <v/>
      </c>
      <c r="AB77" s="58">
        <f>IF(AB76&lt;0,"Pedir "&amp;TEXT(-AB76,"$#,#0")&amp;" ahora para SEM 52","No se requiere")</f>
        <v/>
      </c>
      <c r="AC77" s="58">
        <f>IF(AC76&lt;0,"Pedir "&amp;TEXT(-AC76,"$#,#0")&amp;" ahora para SEM 52","No se requiere")</f>
        <v/>
      </c>
      <c r="AD77" s="58">
        <f>IF(AD76&lt;0,"Pedir "&amp;TEXT(-AD76,"$#,#0")&amp;" ahora para SEM 52","No se requiere")</f>
        <v/>
      </c>
      <c r="AE77" s="58">
        <f>IF(AE76&lt;0,"Pedir "&amp;TEXT(-AE76,"$#,#0")&amp;" ahora para SEM 52","No se requiere")</f>
        <v/>
      </c>
      <c r="AF77" s="58">
        <f>IF(AF76&lt;0,"Pedir "&amp;TEXT(-AF76,"$#,#0")&amp;" ahora para SEM 52","No se requiere")</f>
        <v/>
      </c>
      <c r="AG77" s="58">
        <f>IF(AG76&lt;0,"Pedir "&amp;TEXT(-AG76,"$#,#0")&amp;" ahora para SEM 52","No se requiere")</f>
        <v/>
      </c>
      <c r="AH77" s="58">
        <f>IF(AH76&lt;0,"Pedir "&amp;TEXT(-AH76,"$#,#0")&amp;" ahora para SEM 52","No se requiere")</f>
        <v/>
      </c>
      <c r="AI77" s="58">
        <f>IF(AI76&lt;0,"Pedir "&amp;TEXT(-AI76,"$#,#0")&amp;" ahora para SEM 52","No se requiere")</f>
        <v/>
      </c>
      <c r="AJ77" s="49" t="n"/>
      <c r="AK77" s="49" t="n"/>
      <c r="AL77" s="49" t="n"/>
      <c r="AM77" s="49" t="n"/>
      <c r="AN77" s="49" t="n"/>
      <c r="AO77" s="49" t="n"/>
      <c r="AP77" s="49" t="n"/>
      <c r="AQ77" s="49" t="n"/>
    </row>
    <row r="78" ht="14.25" customHeight="1" s="134"/>
    <row r="79" ht="14.25" customHeight="1" s="134"/>
    <row r="80" ht="14.25" customHeight="1" s="134"/>
    <row r="81" ht="14.25" customHeight="1" s="134"/>
    <row r="82" ht="14.25" customHeight="1" s="134"/>
    <row r="83" ht="14.25" customHeight="1" s="134"/>
    <row r="84" ht="14.25" customHeight="1" s="134"/>
    <row r="85" ht="14.25" customHeight="1" s="134"/>
    <row r="86" ht="14.25" customHeight="1" s="134"/>
    <row r="87" ht="14.25" customHeight="1" s="134"/>
    <row r="88" ht="14.25" customHeight="1" s="134"/>
    <row r="89" ht="14.25" customHeight="1" s="134"/>
    <row r="90" ht="14.25" customHeight="1" s="134"/>
    <row r="91" ht="14.25" customHeight="1" s="134"/>
    <row r="92" ht="14.25" customHeight="1" s="134"/>
    <row r="93" ht="14.25" customHeight="1" s="134"/>
    <row r="94" ht="14.25" customHeight="1" s="134"/>
    <row r="95" ht="14.25" customHeight="1" s="134"/>
    <row r="96" ht="14.25" customHeight="1" s="134"/>
    <row r="97" ht="14.25" customHeight="1" s="134"/>
    <row r="98" ht="14.25" customHeight="1" s="134"/>
    <row r="99" ht="14.25" customHeight="1" s="134"/>
    <row r="100" ht="14.25" customHeight="1" s="134"/>
    <row r="101" ht="14.25" customHeight="1" s="134"/>
    <row r="102" ht="14.25" customHeight="1" s="134"/>
    <row r="103" ht="14.25" customHeight="1" s="134"/>
    <row r="104" ht="14.25" customHeight="1" s="134"/>
    <row r="105" ht="14.25" customHeight="1" s="134"/>
    <row r="106" ht="14.25" customHeight="1" s="134"/>
    <row r="107" ht="14.25" customHeight="1" s="134"/>
    <row r="108" ht="14.25" customHeight="1" s="134"/>
    <row r="109" ht="14.25" customHeight="1" s="134"/>
    <row r="110" ht="14.25" customHeight="1" s="134"/>
    <row r="111" ht="14.25" customHeight="1" s="134"/>
    <row r="112" ht="14.25" customHeight="1" s="134"/>
    <row r="113" ht="14.25" customHeight="1" s="134"/>
    <row r="114" ht="14.25" customHeight="1" s="134"/>
    <row r="115" ht="14.25" customHeight="1" s="134"/>
    <row r="116" ht="14.25" customHeight="1" s="134"/>
    <row r="117" ht="14.25" customHeight="1" s="134"/>
    <row r="118" ht="14.25" customHeight="1" s="134"/>
    <row r="119" ht="14.25" customHeight="1" s="134"/>
    <row r="120" ht="14.25" customHeight="1" s="134"/>
    <row r="121" ht="14.25" customHeight="1" s="134"/>
    <row r="122" ht="14.25" customHeight="1" s="134"/>
    <row r="123" ht="14.25" customHeight="1" s="134"/>
    <row r="124" ht="14.25" customHeight="1" s="134"/>
    <row r="125" ht="14.25" customHeight="1" s="134"/>
    <row r="126" ht="14.25" customHeight="1" s="134"/>
    <row r="127" ht="14.25" customHeight="1" s="134"/>
    <row r="128" ht="14.25" customHeight="1" s="134"/>
    <row r="129" ht="14.25" customHeight="1" s="134"/>
    <row r="130" ht="14.25" customHeight="1" s="134"/>
    <row r="131" ht="14.25" customHeight="1" s="134"/>
    <row r="132" ht="14.25" customHeight="1" s="134"/>
    <row r="133" ht="14.25" customHeight="1" s="134"/>
    <row r="134" ht="14.25" customHeight="1" s="134"/>
    <row r="135" ht="14.25" customHeight="1" s="134"/>
    <row r="136" ht="14.25" customHeight="1" s="134"/>
    <row r="137" ht="14.25" customHeight="1" s="134"/>
    <row r="138" ht="14.25" customHeight="1" s="134"/>
    <row r="139" ht="14.25" customHeight="1" s="134"/>
    <row r="140" ht="14.25" customHeight="1" s="134"/>
    <row r="141" ht="14.25" customHeight="1" s="134"/>
    <row r="142" ht="14.25" customHeight="1" s="134"/>
    <row r="143" ht="14.25" customHeight="1" s="134"/>
    <row r="144" ht="14.25" customHeight="1" s="134"/>
    <row r="145" ht="14.25" customHeight="1" s="134"/>
    <row r="146" ht="14.25" customHeight="1" s="134"/>
    <row r="147" ht="14.25" customHeight="1" s="134"/>
    <row r="148" ht="14.25" customHeight="1" s="134"/>
    <row r="149" ht="14.25" customHeight="1" s="134"/>
    <row r="150" ht="14.25" customHeight="1" s="134"/>
    <row r="151" ht="14.25" customHeight="1" s="134"/>
    <row r="152" ht="14.25" customHeight="1" s="134"/>
    <row r="153" ht="14.25" customHeight="1" s="134"/>
    <row r="154" ht="14.25" customHeight="1" s="134"/>
    <row r="155" ht="14.25" customHeight="1" s="134"/>
    <row r="156" ht="14.25" customHeight="1" s="134"/>
    <row r="157" ht="14.25" customHeight="1" s="134"/>
    <row r="158" ht="14.25" customHeight="1" s="134"/>
    <row r="159" ht="14.25" customHeight="1" s="134"/>
    <row r="160" ht="14.25" customHeight="1" s="134"/>
    <row r="161" ht="14.25" customHeight="1" s="134"/>
    <row r="162" ht="14.25" customHeight="1" s="134"/>
    <row r="163" ht="14.25" customHeight="1" s="134"/>
    <row r="164" ht="14.25" customHeight="1" s="134"/>
    <row r="165" ht="14.25" customHeight="1" s="134"/>
    <row r="166" ht="14.25" customHeight="1" s="134"/>
    <row r="167" ht="14.25" customHeight="1" s="134"/>
    <row r="168" ht="14.25" customHeight="1" s="134"/>
    <row r="169" ht="14.25" customHeight="1" s="134"/>
    <row r="170" ht="14.25" customHeight="1" s="134"/>
    <row r="171" ht="14.25" customHeight="1" s="134"/>
    <row r="172" ht="14.25" customHeight="1" s="134"/>
    <row r="173" ht="14.25" customHeight="1" s="134"/>
    <row r="174" ht="14.25" customHeight="1" s="134"/>
    <row r="175" ht="14.25" customHeight="1" s="134"/>
    <row r="176" ht="14.25" customHeight="1" s="134"/>
    <row r="177" ht="14.25" customHeight="1" s="134"/>
    <row r="178" ht="14.25" customHeight="1" s="134"/>
    <row r="179" ht="14.25" customHeight="1" s="134"/>
    <row r="180" ht="14.25" customHeight="1" s="134"/>
    <row r="181" ht="14.25" customHeight="1" s="134"/>
    <row r="182" ht="14.25" customHeight="1" s="134"/>
    <row r="183" ht="14.25" customHeight="1" s="134"/>
    <row r="184" ht="14.25" customHeight="1" s="134"/>
    <row r="185" ht="14.25" customHeight="1" s="134"/>
    <row r="186" ht="14.25" customHeight="1" s="134"/>
    <row r="187" ht="14.25" customHeight="1" s="134"/>
    <row r="188" ht="14.25" customHeight="1" s="134"/>
    <row r="189" ht="14.25" customHeight="1" s="134"/>
    <row r="190" ht="14.25" customHeight="1" s="134"/>
    <row r="191" ht="14.25" customHeight="1" s="134"/>
    <row r="192" ht="14.25" customHeight="1" s="134"/>
    <row r="193" ht="14.25" customHeight="1" s="134"/>
    <row r="194" ht="14.25" customHeight="1" s="134"/>
    <row r="195" ht="14.25" customHeight="1" s="134"/>
    <row r="196" ht="14.25" customHeight="1" s="134"/>
    <row r="197" ht="14.25" customHeight="1" s="134"/>
    <row r="198" ht="14.25" customHeight="1" s="134"/>
    <row r="199" ht="14.25" customHeight="1" s="134"/>
    <row r="200" ht="14.25" customHeight="1" s="134"/>
    <row r="201" ht="14.25" customHeight="1" s="134"/>
    <row r="202" ht="14.25" customHeight="1" s="134"/>
    <row r="203" ht="14.25" customHeight="1" s="134"/>
    <row r="204" ht="14.25" customHeight="1" s="134"/>
    <row r="205" ht="14.25" customHeight="1" s="134"/>
    <row r="206" ht="14.25" customHeight="1" s="134"/>
    <row r="207" ht="14.25" customHeight="1" s="134"/>
    <row r="208" ht="14.25" customHeight="1" s="134"/>
    <row r="209" ht="14.25" customHeight="1" s="134"/>
    <row r="210" ht="14.25" customHeight="1" s="134"/>
    <row r="211" ht="14.25" customHeight="1" s="134"/>
    <row r="212" ht="14.25" customHeight="1" s="134"/>
    <row r="213" ht="14.25" customHeight="1" s="134"/>
    <row r="214" ht="14.25" customHeight="1" s="134"/>
    <row r="215" ht="14.25" customHeight="1" s="134"/>
    <row r="216" ht="14.25" customHeight="1" s="134"/>
    <row r="217" ht="14.25" customHeight="1" s="134"/>
    <row r="218" ht="14.25" customHeight="1" s="134"/>
    <row r="219" ht="14.25" customHeight="1" s="134"/>
    <row r="220" ht="14.25" customHeight="1" s="134"/>
    <row r="221" ht="14.25" customHeight="1" s="134"/>
    <row r="222" ht="14.25" customHeight="1" s="134"/>
    <row r="223" ht="14.25" customHeight="1" s="134"/>
    <row r="224" ht="14.25" customHeight="1" s="134"/>
    <row r="225" ht="14.25" customHeight="1" s="134"/>
    <row r="226" ht="14.25" customHeight="1" s="134"/>
    <row r="227" ht="14.25" customHeight="1" s="134"/>
    <row r="228" ht="14.25" customHeight="1" s="134"/>
    <row r="229" ht="14.25" customHeight="1" s="134"/>
    <row r="230" ht="14.25" customHeight="1" s="134"/>
    <row r="231" ht="14.25" customHeight="1" s="134"/>
    <row r="232" ht="14.25" customHeight="1" s="134"/>
    <row r="233" ht="14.25" customHeight="1" s="134"/>
    <row r="234" ht="14.25" customHeight="1" s="134"/>
    <row r="235" ht="14.25" customHeight="1" s="134"/>
    <row r="236" ht="14.25" customHeight="1" s="134"/>
    <row r="237" ht="14.25" customHeight="1" s="134"/>
    <row r="238" ht="14.25" customHeight="1" s="134"/>
    <row r="239" ht="14.25" customHeight="1" s="134"/>
    <row r="240" ht="14.25" customHeight="1" s="134"/>
    <row r="241" ht="14.25" customHeight="1" s="134"/>
    <row r="242" ht="14.25" customHeight="1" s="134"/>
    <row r="243" ht="14.25" customHeight="1" s="134"/>
    <row r="244" ht="14.25" customHeight="1" s="134"/>
    <row r="245" ht="14.25" customHeight="1" s="134"/>
    <row r="246" ht="14.25" customHeight="1" s="134"/>
    <row r="247" ht="14.25" customHeight="1" s="134"/>
    <row r="248" ht="14.25" customHeight="1" s="134"/>
    <row r="249" ht="14.25" customHeight="1" s="134"/>
    <row r="250" ht="14.25" customHeight="1" s="134"/>
    <row r="251" ht="14.25" customHeight="1" s="134"/>
    <row r="252" ht="14.25" customHeight="1" s="134"/>
    <row r="253" ht="14.25" customHeight="1" s="134"/>
    <row r="254" ht="14.25" customHeight="1" s="134"/>
    <row r="255" ht="14.25" customHeight="1" s="134"/>
    <row r="256" ht="14.25" customHeight="1" s="134"/>
    <row r="257" ht="14.25" customHeight="1" s="134"/>
    <row r="258" ht="14.25" customHeight="1" s="134"/>
    <row r="259" ht="14.25" customHeight="1" s="134"/>
    <row r="260" ht="14.25" customHeight="1" s="134"/>
    <row r="261" ht="14.25" customHeight="1" s="134"/>
    <row r="262" ht="14.25" customHeight="1" s="134"/>
    <row r="263" ht="14.25" customHeight="1" s="134"/>
    <row r="264" ht="14.25" customHeight="1" s="134"/>
    <row r="265" ht="14.25" customHeight="1" s="134"/>
    <row r="266" ht="14.25" customHeight="1" s="134"/>
    <row r="267" ht="14.25" customHeight="1" s="134"/>
    <row r="268" ht="14.25" customHeight="1" s="134"/>
    <row r="269" ht="14.25" customHeight="1" s="134"/>
    <row r="270" ht="14.25" customHeight="1" s="134"/>
    <row r="271" ht="14.25" customHeight="1" s="134"/>
    <row r="272" ht="14.25" customHeight="1" s="134"/>
    <row r="273" ht="14.25" customHeight="1" s="134"/>
    <row r="274" ht="14.25" customHeight="1" s="134"/>
    <row r="275" ht="14.25" customHeight="1" s="134"/>
    <row r="276" ht="14.25" customHeight="1" s="134"/>
    <row r="277" ht="14.25" customHeight="1" s="134"/>
    <row r="278" ht="14.25" customHeight="1" s="134"/>
    <row r="279" ht="14.25" customHeight="1" s="134"/>
    <row r="280" ht="14.25" customHeight="1" s="134"/>
    <row r="281" ht="14.25" customHeight="1" s="134"/>
    <row r="282" ht="14.25" customHeight="1" s="134"/>
    <row r="283" ht="14.25" customHeight="1" s="134"/>
    <row r="284" ht="14.25" customHeight="1" s="134"/>
    <row r="285" ht="14.25" customHeight="1" s="134"/>
    <row r="286" ht="14.25" customHeight="1" s="134"/>
    <row r="287" ht="14.25" customHeight="1" s="134"/>
    <row r="288" ht="14.25" customHeight="1" s="134"/>
    <row r="289" ht="14.25" customHeight="1" s="134"/>
    <row r="290" ht="14.25" customHeight="1" s="134"/>
    <row r="291" ht="14.25" customHeight="1" s="134"/>
    <row r="292" ht="14.25" customHeight="1" s="134"/>
    <row r="293" ht="14.25" customHeight="1" s="134"/>
    <row r="294" ht="14.25" customHeight="1" s="134"/>
    <row r="295" ht="14.25" customHeight="1" s="134"/>
    <row r="296" ht="14.25" customHeight="1" s="134"/>
    <row r="297" ht="14.25" customHeight="1" s="134"/>
    <row r="298" ht="14.25" customHeight="1" s="134"/>
    <row r="299" ht="14.25" customHeight="1" s="134"/>
    <row r="300" ht="14.25" customHeight="1" s="134"/>
    <row r="301" ht="14.25" customHeight="1" s="134"/>
    <row r="302" ht="14.25" customHeight="1" s="134"/>
    <row r="303" ht="14.25" customHeight="1" s="134"/>
    <row r="304" ht="14.25" customHeight="1" s="134"/>
    <row r="305" ht="14.25" customHeight="1" s="134"/>
    <row r="306" ht="14.25" customHeight="1" s="134"/>
    <row r="307" ht="14.25" customHeight="1" s="134"/>
    <row r="308" ht="14.25" customHeight="1" s="134"/>
    <row r="309" ht="14.25" customHeight="1" s="134"/>
    <row r="310" ht="14.25" customHeight="1" s="134"/>
    <row r="311" ht="14.25" customHeight="1" s="134"/>
    <row r="312" ht="14.25" customHeight="1" s="134"/>
    <row r="313" ht="14.25" customHeight="1" s="134"/>
    <row r="314" ht="14.25" customHeight="1" s="134"/>
    <row r="315" ht="14.25" customHeight="1" s="134"/>
    <row r="316" ht="14.25" customHeight="1" s="134"/>
    <row r="317" ht="14.25" customHeight="1" s="134"/>
    <row r="318" ht="14.25" customHeight="1" s="134"/>
    <row r="319" ht="14.25" customHeight="1" s="134"/>
    <row r="320" ht="14.25" customHeight="1" s="134"/>
    <row r="321" ht="14.25" customHeight="1" s="134"/>
    <row r="322" ht="14.25" customHeight="1" s="134"/>
    <row r="323" ht="14.25" customHeight="1" s="134"/>
    <row r="324" ht="14.25" customHeight="1" s="134"/>
    <row r="325" ht="14.25" customHeight="1" s="134"/>
    <row r="326" ht="14.25" customHeight="1" s="134"/>
    <row r="327" ht="14.25" customHeight="1" s="134"/>
    <row r="328" ht="14.25" customHeight="1" s="134"/>
    <row r="329" ht="14.25" customHeight="1" s="134"/>
    <row r="330" ht="14.25" customHeight="1" s="134"/>
    <row r="331" ht="14.25" customHeight="1" s="134"/>
    <row r="332" ht="14.25" customHeight="1" s="134"/>
    <row r="333" ht="14.25" customHeight="1" s="134"/>
    <row r="334" ht="14.25" customHeight="1" s="134"/>
    <row r="335" ht="14.25" customHeight="1" s="134"/>
    <row r="336" ht="14.25" customHeight="1" s="134"/>
    <row r="337" ht="14.25" customHeight="1" s="134"/>
    <row r="338" ht="14.25" customHeight="1" s="134"/>
    <row r="339" ht="14.25" customHeight="1" s="134"/>
    <row r="340" ht="14.25" customHeight="1" s="134"/>
    <row r="341" ht="14.25" customHeight="1" s="134"/>
    <row r="342" ht="14.25" customHeight="1" s="134"/>
    <row r="343" ht="14.25" customHeight="1" s="134"/>
    <row r="344" ht="14.25" customHeight="1" s="134"/>
    <row r="345" ht="14.25" customHeight="1" s="134"/>
    <row r="346" ht="14.25" customHeight="1" s="134"/>
    <row r="347" ht="14.25" customHeight="1" s="134"/>
    <row r="348" ht="14.25" customHeight="1" s="134"/>
    <row r="349" ht="14.25" customHeight="1" s="134"/>
    <row r="350" ht="14.25" customHeight="1" s="134"/>
    <row r="351" ht="14.25" customHeight="1" s="134"/>
    <row r="352" ht="14.25" customHeight="1" s="134"/>
    <row r="353" ht="14.25" customHeight="1" s="134"/>
    <row r="354" ht="14.25" customHeight="1" s="134"/>
    <row r="355" ht="14.25" customHeight="1" s="134"/>
    <row r="356" ht="14.25" customHeight="1" s="134"/>
    <row r="357" ht="14.25" customHeight="1" s="134"/>
    <row r="358" ht="14.25" customHeight="1" s="134"/>
    <row r="359" ht="14.25" customHeight="1" s="134"/>
    <row r="360" ht="14.25" customHeight="1" s="134"/>
    <row r="361" ht="14.25" customHeight="1" s="134"/>
    <row r="362" ht="14.25" customHeight="1" s="134"/>
    <row r="363" ht="14.25" customHeight="1" s="134"/>
    <row r="364" ht="14.25" customHeight="1" s="134"/>
    <row r="365" ht="14.25" customHeight="1" s="134"/>
    <row r="366" ht="14.25" customHeight="1" s="134"/>
    <row r="367" ht="14.25" customHeight="1" s="134"/>
    <row r="368" ht="14.25" customHeight="1" s="134"/>
    <row r="369" ht="14.25" customHeight="1" s="134"/>
    <row r="370" ht="14.25" customHeight="1" s="134"/>
    <row r="371" ht="14.25" customHeight="1" s="134"/>
    <row r="372" ht="14.25" customHeight="1" s="134"/>
    <row r="373" ht="14.25" customHeight="1" s="134"/>
    <row r="374" ht="14.25" customHeight="1" s="134"/>
    <row r="375" ht="14.25" customHeight="1" s="134"/>
    <row r="376" ht="14.25" customHeight="1" s="134"/>
    <row r="377" ht="14.25" customHeight="1" s="134"/>
    <row r="378" ht="14.25" customHeight="1" s="134"/>
    <row r="379" ht="14.25" customHeight="1" s="134"/>
    <row r="380" ht="14.25" customHeight="1" s="134"/>
    <row r="381" ht="14.25" customHeight="1" s="134"/>
    <row r="382" ht="14.25" customHeight="1" s="134"/>
    <row r="383" ht="14.25" customHeight="1" s="134"/>
    <row r="384" ht="14.25" customHeight="1" s="134"/>
    <row r="385" ht="14.25" customHeight="1" s="134"/>
    <row r="386" ht="14.25" customHeight="1" s="134"/>
    <row r="387" ht="14.25" customHeight="1" s="134"/>
    <row r="388" ht="14.25" customHeight="1" s="134"/>
    <row r="389" ht="14.25" customHeight="1" s="134"/>
    <row r="390" ht="14.25" customHeight="1" s="134"/>
    <row r="391" ht="14.25" customHeight="1" s="134"/>
    <row r="392" ht="14.25" customHeight="1" s="134"/>
    <row r="393" ht="14.25" customHeight="1" s="134"/>
    <row r="394" ht="14.25" customHeight="1" s="134"/>
    <row r="395" ht="14.25" customHeight="1" s="134"/>
    <row r="396" ht="14.25" customHeight="1" s="134"/>
    <row r="397" ht="14.25" customHeight="1" s="134"/>
    <row r="398" ht="14.25" customHeight="1" s="134"/>
    <row r="399" ht="14.25" customHeight="1" s="134"/>
    <row r="400" ht="14.25" customHeight="1" s="134"/>
    <row r="401" ht="14.25" customHeight="1" s="134"/>
    <row r="402" ht="14.25" customHeight="1" s="134"/>
    <row r="403" ht="14.25" customHeight="1" s="134"/>
    <row r="404" ht="14.25" customHeight="1" s="134"/>
    <row r="405" ht="14.25" customHeight="1" s="134"/>
    <row r="406" ht="14.25" customHeight="1" s="134"/>
    <row r="407" ht="14.25" customHeight="1" s="134"/>
    <row r="408" ht="14.25" customHeight="1" s="134"/>
    <row r="409" ht="14.25" customHeight="1" s="134"/>
    <row r="410" ht="14.25" customHeight="1" s="134"/>
    <row r="411" ht="14.25" customHeight="1" s="134"/>
    <row r="412" ht="14.25" customHeight="1" s="134"/>
    <row r="413" ht="14.25" customHeight="1" s="134"/>
    <row r="414" ht="14.25" customHeight="1" s="134"/>
    <row r="415" ht="14.25" customHeight="1" s="134"/>
    <row r="416" ht="14.25" customHeight="1" s="134"/>
    <row r="417" ht="14.25" customHeight="1" s="134"/>
    <row r="418" ht="14.25" customHeight="1" s="134"/>
    <row r="419" ht="14.25" customHeight="1" s="134"/>
    <row r="420" ht="14.25" customHeight="1" s="134"/>
    <row r="421" ht="14.25" customHeight="1" s="134"/>
    <row r="422" ht="14.25" customHeight="1" s="134"/>
    <row r="423" ht="14.25" customHeight="1" s="134"/>
    <row r="424" ht="14.25" customHeight="1" s="134"/>
    <row r="425" ht="14.25" customHeight="1" s="134"/>
    <row r="426" ht="14.25" customHeight="1" s="134"/>
    <row r="427" ht="14.25" customHeight="1" s="134"/>
    <row r="428" ht="14.25" customHeight="1" s="134"/>
    <row r="429" ht="14.25" customHeight="1" s="134"/>
    <row r="430" ht="14.25" customHeight="1" s="134"/>
    <row r="431" ht="14.25" customHeight="1" s="134"/>
    <row r="432" ht="14.25" customHeight="1" s="134"/>
    <row r="433" ht="14.25" customHeight="1" s="134"/>
    <row r="434" ht="14.25" customHeight="1" s="134"/>
    <row r="435" ht="14.25" customHeight="1" s="134"/>
    <row r="436" ht="14.25" customHeight="1" s="134"/>
    <row r="437" ht="14.25" customHeight="1" s="134"/>
    <row r="438" ht="14.25" customHeight="1" s="134"/>
    <row r="439" ht="14.25" customHeight="1" s="134"/>
    <row r="440" ht="14.25" customHeight="1" s="134"/>
    <row r="441" ht="14.25" customHeight="1" s="134"/>
    <row r="442" ht="14.25" customHeight="1" s="134"/>
    <row r="443" ht="14.25" customHeight="1" s="134"/>
    <row r="444" ht="14.25" customHeight="1" s="134"/>
    <row r="445" ht="14.25" customHeight="1" s="134"/>
    <row r="446" ht="14.25" customHeight="1" s="134"/>
    <row r="447" ht="14.25" customHeight="1" s="134"/>
    <row r="448" ht="14.25" customHeight="1" s="134"/>
    <row r="449" ht="14.25" customHeight="1" s="134"/>
    <row r="450" ht="14.25" customHeight="1" s="134"/>
    <row r="451" ht="14.25" customHeight="1" s="134"/>
    <row r="452" ht="14.25" customHeight="1" s="134"/>
    <row r="453" ht="14.25" customHeight="1" s="134"/>
    <row r="454" ht="14.25" customHeight="1" s="134"/>
    <row r="455" ht="14.25" customHeight="1" s="134"/>
    <row r="456" ht="14.25" customHeight="1" s="134"/>
    <row r="457" ht="14.25" customHeight="1" s="134"/>
    <row r="458" ht="14.25" customHeight="1" s="134"/>
    <row r="459" ht="14.25" customHeight="1" s="134"/>
    <row r="460" ht="14.25" customHeight="1" s="134"/>
    <row r="461" ht="14.25" customHeight="1" s="134"/>
    <row r="462" ht="14.25" customHeight="1" s="134"/>
    <row r="463" ht="14.25" customHeight="1" s="134"/>
    <row r="464" ht="14.25" customHeight="1" s="134"/>
    <row r="465" ht="14.25" customHeight="1" s="134"/>
    <row r="466" ht="14.25" customHeight="1" s="134"/>
    <row r="467" ht="14.25" customHeight="1" s="134"/>
    <row r="468" ht="14.25" customHeight="1" s="134"/>
    <row r="469" ht="14.25" customHeight="1" s="134"/>
    <row r="470" ht="14.25" customHeight="1" s="134"/>
    <row r="471" ht="14.25" customHeight="1" s="134"/>
    <row r="472" ht="14.25" customHeight="1" s="134"/>
    <row r="473" ht="14.25" customHeight="1" s="134"/>
    <row r="474" ht="14.25" customHeight="1" s="134"/>
    <row r="475" ht="14.25" customHeight="1" s="134"/>
    <row r="476" ht="14.25" customHeight="1" s="134"/>
    <row r="477" ht="14.25" customHeight="1" s="134"/>
    <row r="478" ht="14.25" customHeight="1" s="134"/>
    <row r="479" ht="14.25" customHeight="1" s="134"/>
    <row r="480" ht="14.25" customHeight="1" s="134"/>
    <row r="481" ht="14.25" customHeight="1" s="134"/>
    <row r="482" ht="14.25" customHeight="1" s="134"/>
    <row r="483" ht="14.25" customHeight="1" s="134"/>
    <row r="484" ht="14.25" customHeight="1" s="134"/>
    <row r="485" ht="14.25" customHeight="1" s="134"/>
    <row r="486" ht="14.25" customHeight="1" s="134"/>
    <row r="487" ht="14.25" customHeight="1" s="134"/>
    <row r="488" ht="14.25" customHeight="1" s="134"/>
    <row r="489" ht="14.25" customHeight="1" s="134"/>
    <row r="490" ht="14.25" customHeight="1" s="134"/>
    <row r="491" ht="14.25" customHeight="1" s="134"/>
    <row r="492" ht="14.25" customHeight="1" s="134"/>
    <row r="493" ht="14.25" customHeight="1" s="134"/>
    <row r="494" ht="14.25" customHeight="1" s="134"/>
    <row r="495" ht="14.25" customHeight="1" s="134"/>
    <row r="496" ht="14.25" customHeight="1" s="134"/>
    <row r="497" ht="14.25" customHeight="1" s="134"/>
    <row r="498" ht="14.25" customHeight="1" s="134"/>
    <row r="499" ht="14.25" customHeight="1" s="134"/>
    <row r="500" ht="14.25" customHeight="1" s="134"/>
    <row r="501" ht="14.25" customHeight="1" s="134"/>
    <row r="502" ht="14.25" customHeight="1" s="134"/>
    <row r="503" ht="14.25" customHeight="1" s="134"/>
    <row r="504" ht="14.25" customHeight="1" s="134"/>
    <row r="505" ht="14.25" customHeight="1" s="134"/>
    <row r="506" ht="14.25" customHeight="1" s="134"/>
    <row r="507" ht="14.25" customHeight="1" s="134"/>
    <row r="508" ht="14.25" customHeight="1" s="134"/>
    <row r="509" ht="14.25" customHeight="1" s="134"/>
    <row r="510" ht="14.25" customHeight="1" s="134"/>
    <row r="511" ht="14.25" customHeight="1" s="134"/>
    <row r="512" ht="14.25" customHeight="1" s="134"/>
    <row r="513" ht="14.25" customHeight="1" s="134"/>
    <row r="514" ht="14.25" customHeight="1" s="134"/>
    <row r="515" ht="14.25" customHeight="1" s="134"/>
    <row r="516" ht="14.25" customHeight="1" s="134"/>
    <row r="517" ht="14.25" customHeight="1" s="134"/>
    <row r="518" ht="14.25" customHeight="1" s="134"/>
    <row r="519" ht="14.25" customHeight="1" s="134"/>
    <row r="520" ht="14.25" customHeight="1" s="134"/>
    <row r="521" ht="14.25" customHeight="1" s="134"/>
    <row r="522" ht="14.25" customHeight="1" s="134"/>
    <row r="523" ht="14.25" customHeight="1" s="134"/>
    <row r="524" ht="14.25" customHeight="1" s="134"/>
    <row r="525" ht="14.25" customHeight="1" s="134"/>
    <row r="526" ht="14.25" customHeight="1" s="134"/>
    <row r="527" ht="14.25" customHeight="1" s="134"/>
    <row r="528" ht="14.25" customHeight="1" s="134"/>
    <row r="529" ht="14.25" customHeight="1" s="134"/>
    <row r="530" ht="14.25" customHeight="1" s="134"/>
    <row r="531" ht="14.25" customHeight="1" s="134"/>
    <row r="532" ht="14.25" customHeight="1" s="134"/>
    <row r="533" ht="14.25" customHeight="1" s="134"/>
    <row r="534" ht="14.25" customHeight="1" s="134"/>
    <row r="535" ht="14.25" customHeight="1" s="134"/>
    <row r="536" ht="14.25" customHeight="1" s="134"/>
    <row r="537" ht="14.25" customHeight="1" s="134"/>
    <row r="538" ht="14.25" customHeight="1" s="134"/>
    <row r="539" ht="14.25" customHeight="1" s="134"/>
    <row r="540" ht="14.25" customHeight="1" s="134"/>
    <row r="541" ht="14.25" customHeight="1" s="134"/>
    <row r="542" ht="14.25" customHeight="1" s="134"/>
    <row r="543" ht="14.25" customHeight="1" s="134"/>
    <row r="544" ht="14.25" customHeight="1" s="134"/>
    <row r="545" ht="14.25" customHeight="1" s="134"/>
    <row r="546" ht="14.25" customHeight="1" s="134"/>
    <row r="547" ht="14.25" customHeight="1" s="134"/>
    <row r="548" ht="14.25" customHeight="1" s="134"/>
    <row r="549" ht="14.25" customHeight="1" s="134"/>
    <row r="550" ht="14.25" customHeight="1" s="134"/>
    <row r="551" ht="14.25" customHeight="1" s="134"/>
    <row r="552" ht="14.25" customHeight="1" s="134"/>
    <row r="553" ht="14.25" customHeight="1" s="134"/>
    <row r="554" ht="14.25" customHeight="1" s="134"/>
    <row r="555" ht="14.25" customHeight="1" s="134"/>
    <row r="556" ht="14.25" customHeight="1" s="134"/>
    <row r="557" ht="14.25" customHeight="1" s="134"/>
    <row r="558" ht="14.25" customHeight="1" s="134"/>
    <row r="559" ht="14.25" customHeight="1" s="134"/>
    <row r="560" ht="14.25" customHeight="1" s="134"/>
    <row r="561" ht="14.25" customHeight="1" s="134"/>
    <row r="562" ht="14.25" customHeight="1" s="134"/>
    <row r="563" ht="14.25" customHeight="1" s="134"/>
    <row r="564" ht="14.25" customHeight="1" s="134"/>
    <row r="565" ht="14.25" customHeight="1" s="134"/>
    <row r="566" ht="14.25" customHeight="1" s="134"/>
    <row r="567" ht="14.25" customHeight="1" s="134"/>
    <row r="568" ht="14.25" customHeight="1" s="134"/>
    <row r="569" ht="14.25" customHeight="1" s="134"/>
    <row r="570" ht="14.25" customHeight="1" s="134"/>
    <row r="571" ht="14.25" customHeight="1" s="134"/>
    <row r="572" ht="14.25" customHeight="1" s="134"/>
    <row r="573" ht="14.25" customHeight="1" s="134"/>
    <row r="574" ht="14.25" customHeight="1" s="134"/>
    <row r="575" ht="14.25" customHeight="1" s="134"/>
    <row r="576" ht="14.25" customHeight="1" s="134"/>
    <row r="577" ht="14.25" customHeight="1" s="134"/>
    <row r="578" ht="14.25" customHeight="1" s="134"/>
    <row r="579" ht="14.25" customHeight="1" s="134"/>
    <row r="580" ht="14.25" customHeight="1" s="134"/>
    <row r="581" ht="14.25" customHeight="1" s="134"/>
    <row r="582" ht="14.25" customHeight="1" s="134"/>
    <row r="583" ht="14.25" customHeight="1" s="134"/>
    <row r="584" ht="14.25" customHeight="1" s="134"/>
    <row r="585" ht="14.25" customHeight="1" s="134"/>
    <row r="586" ht="14.25" customHeight="1" s="134"/>
    <row r="587" ht="14.25" customHeight="1" s="134"/>
    <row r="588" ht="14.25" customHeight="1" s="134"/>
    <row r="589" ht="14.25" customHeight="1" s="134"/>
    <row r="590" ht="14.25" customHeight="1" s="134"/>
    <row r="591" ht="14.25" customHeight="1" s="134"/>
    <row r="592" ht="14.25" customHeight="1" s="134"/>
    <row r="593" ht="14.25" customHeight="1" s="134"/>
    <row r="594" ht="14.25" customHeight="1" s="134"/>
    <row r="595" ht="14.25" customHeight="1" s="134"/>
    <row r="596" ht="14.25" customHeight="1" s="134"/>
    <row r="597" ht="14.25" customHeight="1" s="134"/>
    <row r="598" ht="14.25" customHeight="1" s="134"/>
    <row r="599" ht="14.25" customHeight="1" s="134"/>
    <row r="600" ht="14.25" customHeight="1" s="134"/>
    <row r="601" ht="14.25" customHeight="1" s="134"/>
    <row r="602" ht="14.25" customHeight="1" s="134"/>
    <row r="603" ht="14.25" customHeight="1" s="134"/>
    <row r="604" ht="14.25" customHeight="1" s="134"/>
    <row r="605" ht="14.25" customHeight="1" s="134"/>
    <row r="606" ht="14.25" customHeight="1" s="134"/>
    <row r="607" ht="14.25" customHeight="1" s="134"/>
    <row r="608" ht="14.25" customHeight="1" s="134"/>
    <row r="609" ht="14.25" customHeight="1" s="134"/>
    <row r="610" ht="14.25" customHeight="1" s="134"/>
    <row r="611" ht="14.25" customHeight="1" s="134"/>
    <row r="612" ht="14.25" customHeight="1" s="134"/>
    <row r="613" ht="14.25" customHeight="1" s="134"/>
    <row r="614" ht="14.25" customHeight="1" s="134"/>
    <row r="615" ht="14.25" customHeight="1" s="134"/>
    <row r="616" ht="14.25" customHeight="1" s="134"/>
    <row r="617" ht="14.25" customHeight="1" s="134"/>
    <row r="618" ht="14.25" customHeight="1" s="134"/>
    <row r="619" ht="14.25" customHeight="1" s="134"/>
    <row r="620" ht="14.25" customHeight="1" s="134"/>
    <row r="621" ht="14.25" customHeight="1" s="134"/>
    <row r="622" ht="14.25" customHeight="1" s="134"/>
    <row r="623" ht="14.25" customHeight="1" s="134"/>
    <row r="624" ht="14.25" customHeight="1" s="134"/>
    <row r="625" ht="14.25" customHeight="1" s="134"/>
    <row r="626" ht="14.25" customHeight="1" s="134"/>
    <row r="627" ht="14.25" customHeight="1" s="134"/>
    <row r="628" ht="14.25" customHeight="1" s="134"/>
    <row r="629" ht="14.25" customHeight="1" s="134"/>
    <row r="630" ht="14.25" customHeight="1" s="134"/>
    <row r="631" ht="14.25" customHeight="1" s="134"/>
    <row r="632" ht="14.25" customHeight="1" s="134"/>
    <row r="633" ht="14.25" customHeight="1" s="134"/>
    <row r="634" ht="14.25" customHeight="1" s="134"/>
    <row r="635" ht="14.25" customHeight="1" s="134"/>
    <row r="636" ht="14.25" customHeight="1" s="134"/>
    <row r="637" ht="14.25" customHeight="1" s="134"/>
    <row r="638" ht="14.25" customHeight="1" s="134"/>
    <row r="639" ht="14.25" customHeight="1" s="134"/>
    <row r="640" ht="14.25" customHeight="1" s="134"/>
    <row r="641" ht="14.25" customHeight="1" s="134"/>
    <row r="642" ht="14.25" customHeight="1" s="134"/>
    <row r="643" ht="14.25" customHeight="1" s="134"/>
    <row r="644" ht="14.25" customHeight="1" s="134"/>
    <row r="645" ht="14.25" customHeight="1" s="134"/>
    <row r="646" ht="14.25" customHeight="1" s="134"/>
    <row r="647" ht="14.25" customHeight="1" s="134"/>
    <row r="648" ht="14.25" customHeight="1" s="134"/>
    <row r="649" ht="14.25" customHeight="1" s="134"/>
    <row r="650" ht="14.25" customHeight="1" s="134"/>
    <row r="651" ht="14.25" customHeight="1" s="134"/>
    <row r="652" ht="14.25" customHeight="1" s="134"/>
    <row r="653" ht="14.25" customHeight="1" s="134"/>
    <row r="654" ht="14.25" customHeight="1" s="134"/>
    <row r="655" ht="14.25" customHeight="1" s="134"/>
    <row r="656" ht="14.25" customHeight="1" s="134"/>
    <row r="657" ht="14.25" customHeight="1" s="134"/>
    <row r="658" ht="14.25" customHeight="1" s="134"/>
    <row r="659" ht="14.25" customHeight="1" s="134"/>
    <row r="660" ht="14.25" customHeight="1" s="134"/>
    <row r="661" ht="14.25" customHeight="1" s="134"/>
    <row r="662" ht="14.25" customHeight="1" s="134"/>
    <row r="663" ht="14.25" customHeight="1" s="134"/>
    <row r="664" ht="14.25" customHeight="1" s="134"/>
    <row r="665" ht="14.25" customHeight="1" s="134"/>
    <row r="666" ht="14.25" customHeight="1" s="134"/>
    <row r="667" ht="14.25" customHeight="1" s="134"/>
    <row r="668" ht="14.25" customHeight="1" s="134"/>
    <row r="669" ht="14.25" customHeight="1" s="134"/>
    <row r="670" ht="14.25" customHeight="1" s="134"/>
    <row r="671" ht="14.25" customHeight="1" s="134"/>
    <row r="672" ht="14.25" customHeight="1" s="134"/>
    <row r="673" ht="14.25" customHeight="1" s="134"/>
    <row r="674" ht="14.25" customHeight="1" s="134"/>
    <row r="675" ht="14.25" customHeight="1" s="134"/>
    <row r="676" ht="14.25" customHeight="1" s="134"/>
    <row r="677" ht="14.25" customHeight="1" s="134"/>
    <row r="678" ht="14.25" customHeight="1" s="134"/>
    <row r="679" ht="14.25" customHeight="1" s="134"/>
    <row r="680" ht="14.25" customHeight="1" s="134"/>
    <row r="681" ht="14.25" customHeight="1" s="134"/>
    <row r="682" ht="14.25" customHeight="1" s="134"/>
    <row r="683" ht="14.25" customHeight="1" s="134"/>
    <row r="684" ht="14.25" customHeight="1" s="134"/>
    <row r="685" ht="14.25" customHeight="1" s="134"/>
    <row r="686" ht="14.25" customHeight="1" s="134"/>
    <row r="687" ht="14.25" customHeight="1" s="134"/>
    <row r="688" ht="14.25" customHeight="1" s="134"/>
    <row r="689" ht="14.25" customHeight="1" s="134"/>
    <row r="690" ht="14.25" customHeight="1" s="134"/>
    <row r="691" ht="14.25" customHeight="1" s="134"/>
    <row r="692" ht="14.25" customHeight="1" s="134"/>
    <row r="693" ht="14.25" customHeight="1" s="134"/>
    <row r="694" ht="14.25" customHeight="1" s="134"/>
    <row r="695" ht="14.25" customHeight="1" s="134"/>
    <row r="696" ht="14.25" customHeight="1" s="134"/>
    <row r="697" ht="14.25" customHeight="1" s="134"/>
    <row r="698" ht="14.25" customHeight="1" s="134"/>
    <row r="699" ht="14.25" customHeight="1" s="134"/>
    <row r="700" ht="14.25" customHeight="1" s="134"/>
    <row r="701" ht="14.25" customHeight="1" s="134"/>
    <row r="702" ht="14.25" customHeight="1" s="134"/>
    <row r="703" ht="14.25" customHeight="1" s="134"/>
    <row r="704" ht="14.25" customHeight="1" s="134"/>
    <row r="705" ht="14.25" customHeight="1" s="134"/>
    <row r="706" ht="14.25" customHeight="1" s="134"/>
    <row r="707" ht="14.25" customHeight="1" s="134"/>
    <row r="708" ht="14.25" customHeight="1" s="134"/>
    <row r="709" ht="14.25" customHeight="1" s="134"/>
    <row r="710" ht="14.25" customHeight="1" s="134"/>
    <row r="711" ht="14.25" customHeight="1" s="134"/>
    <row r="712" ht="14.25" customHeight="1" s="134"/>
    <row r="713" ht="14.25" customHeight="1" s="134"/>
    <row r="714" ht="14.25" customHeight="1" s="134"/>
    <row r="715" ht="14.25" customHeight="1" s="134"/>
    <row r="716" ht="14.25" customHeight="1" s="134"/>
    <row r="717" ht="14.25" customHeight="1" s="134"/>
    <row r="718" ht="14.25" customHeight="1" s="134"/>
    <row r="719" ht="14.25" customHeight="1" s="134"/>
    <row r="720" ht="14.25" customHeight="1" s="134"/>
    <row r="721" ht="14.25" customHeight="1" s="134"/>
    <row r="722" ht="14.25" customHeight="1" s="134"/>
    <row r="723" ht="14.25" customHeight="1" s="134"/>
    <row r="724" ht="14.25" customHeight="1" s="134"/>
    <row r="725" ht="14.25" customHeight="1" s="134"/>
    <row r="726" ht="14.25" customHeight="1" s="134"/>
    <row r="727" ht="14.25" customHeight="1" s="134"/>
    <row r="728" ht="14.25" customHeight="1" s="134"/>
    <row r="729" ht="14.25" customHeight="1" s="134"/>
    <row r="730" ht="14.25" customHeight="1" s="134"/>
    <row r="731" ht="14.25" customHeight="1" s="134"/>
    <row r="732" ht="14.25" customHeight="1" s="134"/>
    <row r="733" ht="14.25" customHeight="1" s="134"/>
    <row r="734" ht="14.25" customHeight="1" s="134"/>
    <row r="735" ht="14.25" customHeight="1" s="134"/>
    <row r="736" ht="14.25" customHeight="1" s="134"/>
    <row r="737" ht="14.25" customHeight="1" s="134"/>
    <row r="738" ht="14.25" customHeight="1" s="134"/>
    <row r="739" ht="14.25" customHeight="1" s="134"/>
    <row r="740" ht="14.25" customHeight="1" s="134"/>
    <row r="741" ht="14.25" customHeight="1" s="134"/>
    <row r="742" ht="14.25" customHeight="1" s="134"/>
    <row r="743" ht="14.25" customHeight="1" s="134"/>
    <row r="744" ht="14.25" customHeight="1" s="134"/>
    <row r="745" ht="14.25" customHeight="1" s="134"/>
    <row r="746" ht="14.25" customHeight="1" s="134"/>
    <row r="747" ht="14.25" customHeight="1" s="134"/>
    <row r="748" ht="14.25" customHeight="1" s="134"/>
    <row r="749" ht="14.25" customHeight="1" s="134"/>
    <row r="750" ht="14.25" customHeight="1" s="134"/>
    <row r="751" ht="14.25" customHeight="1" s="134"/>
    <row r="752" ht="14.25" customHeight="1" s="134"/>
    <row r="753" ht="14.25" customHeight="1" s="134"/>
    <row r="754" ht="14.25" customHeight="1" s="134"/>
    <row r="755" ht="14.25" customHeight="1" s="134"/>
    <row r="756" ht="14.25" customHeight="1" s="134"/>
    <row r="757" ht="14.25" customHeight="1" s="134"/>
    <row r="758" ht="14.25" customHeight="1" s="134"/>
    <row r="759" ht="14.25" customHeight="1" s="134"/>
    <row r="760" ht="14.25" customHeight="1" s="134"/>
    <row r="761" ht="14.25" customHeight="1" s="134"/>
    <row r="762" ht="14.25" customHeight="1" s="134"/>
    <row r="763" ht="14.25" customHeight="1" s="134"/>
    <row r="764" ht="14.25" customHeight="1" s="134"/>
    <row r="765" ht="14.25" customHeight="1" s="134"/>
    <row r="766" ht="14.25" customHeight="1" s="134"/>
    <row r="767" ht="14.25" customHeight="1" s="134"/>
    <row r="768" ht="14.25" customHeight="1" s="134"/>
    <row r="769" ht="14.25" customHeight="1" s="134"/>
    <row r="770" ht="14.25" customHeight="1" s="134"/>
    <row r="771" ht="14.25" customHeight="1" s="134"/>
    <row r="772" ht="14.25" customHeight="1" s="134"/>
    <row r="773" ht="14.25" customHeight="1" s="134"/>
    <row r="774" ht="14.25" customHeight="1" s="134"/>
    <row r="775" ht="14.25" customHeight="1" s="134"/>
    <row r="776" ht="14.25" customHeight="1" s="134"/>
    <row r="777" ht="14.25" customHeight="1" s="134"/>
    <row r="778" ht="14.25" customHeight="1" s="134"/>
    <row r="779" ht="14.25" customHeight="1" s="134"/>
    <row r="780" ht="14.25" customHeight="1" s="134"/>
    <row r="781" ht="14.25" customHeight="1" s="134"/>
    <row r="782" ht="14.25" customHeight="1" s="134"/>
    <row r="783" ht="14.25" customHeight="1" s="134"/>
    <row r="784" ht="14.25" customHeight="1" s="134"/>
    <row r="785" ht="14.25" customHeight="1" s="134"/>
    <row r="786" ht="14.25" customHeight="1" s="134"/>
    <row r="787" ht="14.25" customHeight="1" s="134"/>
    <row r="788" ht="14.25" customHeight="1" s="134"/>
    <row r="789" ht="14.25" customHeight="1" s="134"/>
    <row r="790" ht="14.25" customHeight="1" s="134"/>
    <row r="791" ht="14.25" customHeight="1" s="134"/>
    <row r="792" ht="14.25" customHeight="1" s="134"/>
    <row r="793" ht="14.25" customHeight="1" s="134"/>
    <row r="794" ht="14.25" customHeight="1" s="134"/>
    <row r="795" ht="14.25" customHeight="1" s="134"/>
    <row r="796" ht="14.25" customHeight="1" s="134"/>
    <row r="797" ht="14.25" customHeight="1" s="134"/>
    <row r="798" ht="14.25" customHeight="1" s="134"/>
    <row r="799" ht="14.25" customHeight="1" s="134"/>
    <row r="800" ht="14.25" customHeight="1" s="134"/>
    <row r="801" ht="14.25" customHeight="1" s="134"/>
    <row r="802" ht="14.25" customHeight="1" s="134"/>
    <row r="803" ht="14.25" customHeight="1" s="134"/>
    <row r="804" ht="14.25" customHeight="1" s="134"/>
    <row r="805" ht="14.25" customHeight="1" s="134"/>
    <row r="806" ht="14.25" customHeight="1" s="134"/>
    <row r="807" ht="14.25" customHeight="1" s="134"/>
    <row r="808" ht="14.25" customHeight="1" s="134"/>
    <row r="809" ht="14.25" customHeight="1" s="134"/>
    <row r="810" ht="14.25" customHeight="1" s="134"/>
    <row r="811" ht="14.25" customHeight="1" s="134"/>
    <row r="812" ht="14.25" customHeight="1" s="134"/>
    <row r="813" ht="14.25" customHeight="1" s="134"/>
    <row r="814" ht="14.25" customHeight="1" s="134"/>
    <row r="815" ht="14.25" customHeight="1" s="134"/>
    <row r="816" ht="14.25" customHeight="1" s="134"/>
    <row r="817" ht="14.25" customHeight="1" s="134"/>
    <row r="818" ht="14.25" customHeight="1" s="134"/>
    <row r="819" ht="14.25" customHeight="1" s="134"/>
    <row r="820" ht="14.25" customHeight="1" s="134"/>
    <row r="821" ht="14.25" customHeight="1" s="134"/>
    <row r="822" ht="14.25" customHeight="1" s="134"/>
    <row r="823" ht="14.25" customHeight="1" s="134"/>
    <row r="824" ht="14.25" customHeight="1" s="134"/>
    <row r="825" ht="14.25" customHeight="1" s="134"/>
    <row r="826" ht="14.25" customHeight="1" s="134"/>
    <row r="827" ht="14.25" customHeight="1" s="134"/>
    <row r="828" ht="14.25" customHeight="1" s="134"/>
    <row r="829" ht="14.25" customHeight="1" s="134"/>
    <row r="830" ht="14.25" customHeight="1" s="134"/>
    <row r="831" ht="14.25" customHeight="1" s="134"/>
    <row r="832" ht="14.25" customHeight="1" s="134"/>
    <row r="833" ht="14.25" customHeight="1" s="134"/>
    <row r="834" ht="14.25" customHeight="1" s="134"/>
    <row r="835" ht="14.25" customHeight="1" s="134"/>
    <row r="836" ht="14.25" customHeight="1" s="134"/>
    <row r="837" ht="14.25" customHeight="1" s="134"/>
    <row r="838" ht="14.25" customHeight="1" s="134"/>
    <row r="839" ht="14.25" customHeight="1" s="134"/>
    <row r="840" ht="14.25" customHeight="1" s="134"/>
    <row r="841" ht="14.25" customHeight="1" s="134"/>
    <row r="842" ht="14.25" customHeight="1" s="134"/>
    <row r="843" ht="14.25" customHeight="1" s="134"/>
    <row r="844" ht="14.25" customHeight="1" s="134"/>
    <row r="845" ht="14.25" customHeight="1" s="134"/>
    <row r="846" ht="14.25" customHeight="1" s="134"/>
    <row r="847" ht="14.25" customHeight="1" s="134"/>
    <row r="848" ht="14.25" customHeight="1" s="134"/>
    <row r="849" ht="14.25" customHeight="1" s="134"/>
    <row r="850" ht="14.25" customHeight="1" s="134"/>
    <row r="851" ht="14.25" customHeight="1" s="134"/>
    <row r="852" ht="14.25" customHeight="1" s="134"/>
    <row r="853" ht="14.25" customHeight="1" s="134"/>
    <row r="854" ht="14.25" customHeight="1" s="134"/>
    <row r="855" ht="14.25" customHeight="1" s="134"/>
    <row r="856" ht="14.25" customHeight="1" s="134"/>
    <row r="857" ht="14.25" customHeight="1" s="134"/>
    <row r="858" ht="14.25" customHeight="1" s="134"/>
    <row r="859" ht="14.25" customHeight="1" s="134"/>
    <row r="860" ht="14.25" customHeight="1" s="134"/>
    <row r="861" ht="14.25" customHeight="1" s="134"/>
    <row r="862" ht="14.25" customHeight="1" s="134"/>
    <row r="863" ht="14.25" customHeight="1" s="134"/>
    <row r="864" ht="14.25" customHeight="1" s="134"/>
    <row r="865" ht="14.25" customHeight="1" s="134"/>
    <row r="866" ht="14.25" customHeight="1" s="134"/>
    <row r="867" ht="14.25" customHeight="1" s="134"/>
    <row r="868" ht="14.25" customHeight="1" s="134"/>
    <row r="869" ht="14.25" customHeight="1" s="134"/>
    <row r="870" ht="14.25" customHeight="1" s="134"/>
    <row r="871" ht="14.25" customHeight="1" s="134"/>
    <row r="872" ht="14.25" customHeight="1" s="134"/>
    <row r="873" ht="14.25" customHeight="1" s="134"/>
    <row r="874" ht="14.25" customHeight="1" s="134"/>
    <row r="875" ht="14.25" customHeight="1" s="134"/>
    <row r="876" ht="14.25" customHeight="1" s="134"/>
    <row r="877" ht="14.25" customHeight="1" s="134"/>
    <row r="878" ht="14.25" customHeight="1" s="134"/>
    <row r="879" ht="14.25" customHeight="1" s="134"/>
    <row r="880" ht="14.25" customHeight="1" s="134"/>
    <row r="881" ht="14.25" customHeight="1" s="134"/>
    <row r="882" ht="14.25" customHeight="1" s="134"/>
    <row r="883" ht="14.25" customHeight="1" s="134"/>
    <row r="884" ht="14.25" customHeight="1" s="134"/>
    <row r="885" ht="14.25" customHeight="1" s="134"/>
    <row r="886" ht="14.25" customHeight="1" s="134"/>
    <row r="887" ht="14.25" customHeight="1" s="134"/>
    <row r="888" ht="14.25" customHeight="1" s="134"/>
    <row r="889" ht="14.25" customHeight="1" s="134"/>
    <row r="890" ht="14.25" customHeight="1" s="134"/>
    <row r="891" ht="14.25" customHeight="1" s="134"/>
    <row r="892" ht="14.25" customHeight="1" s="134"/>
    <row r="893" ht="14.25" customHeight="1" s="134"/>
    <row r="894" ht="14.25" customHeight="1" s="134"/>
    <row r="895" ht="14.25" customHeight="1" s="134"/>
    <row r="896" ht="14.25" customHeight="1" s="134"/>
    <row r="897" ht="14.25" customHeight="1" s="134"/>
    <row r="898" ht="14.25" customHeight="1" s="134"/>
    <row r="899" ht="14.25" customHeight="1" s="134"/>
    <row r="900" ht="14.25" customHeight="1" s="134"/>
    <row r="901" ht="14.25" customHeight="1" s="134"/>
    <row r="902" ht="14.25" customHeight="1" s="134"/>
    <row r="903" ht="14.25" customHeight="1" s="134"/>
    <row r="904" ht="14.25" customHeight="1" s="134"/>
    <row r="905" ht="14.25" customHeight="1" s="134"/>
    <row r="906" ht="14.25" customHeight="1" s="134"/>
    <row r="907" ht="14.25" customHeight="1" s="134"/>
    <row r="908" ht="14.25" customHeight="1" s="134"/>
    <row r="909" ht="14.25" customHeight="1" s="134"/>
    <row r="910" ht="14.25" customHeight="1" s="134"/>
    <row r="911" ht="14.25" customHeight="1" s="134"/>
    <row r="912" ht="14.25" customHeight="1" s="134"/>
    <row r="913" ht="14.25" customHeight="1" s="134"/>
    <row r="914" ht="14.25" customHeight="1" s="134"/>
    <row r="915" ht="14.25" customHeight="1" s="134"/>
    <row r="916" ht="14.25" customHeight="1" s="134"/>
    <row r="917" ht="14.25" customHeight="1" s="134"/>
    <row r="918" ht="14.25" customHeight="1" s="134"/>
    <row r="919" ht="14.25" customHeight="1" s="134"/>
    <row r="920" ht="14.25" customHeight="1" s="134"/>
    <row r="921" ht="14.25" customHeight="1" s="134"/>
    <row r="922" ht="14.25" customHeight="1" s="134"/>
    <row r="923" ht="14.25" customHeight="1" s="134"/>
    <row r="924" ht="14.25" customHeight="1" s="134"/>
    <row r="925" ht="14.25" customHeight="1" s="134"/>
    <row r="926" ht="14.25" customHeight="1" s="134"/>
    <row r="927" ht="14.25" customHeight="1" s="134"/>
    <row r="928" ht="14.25" customHeight="1" s="134"/>
    <row r="929" ht="14.25" customHeight="1" s="134"/>
    <row r="930" ht="14.25" customHeight="1" s="134"/>
    <row r="931" ht="14.25" customHeight="1" s="134"/>
    <row r="932" ht="14.25" customHeight="1" s="134"/>
    <row r="933" ht="14.25" customHeight="1" s="134"/>
    <row r="934" ht="14.25" customHeight="1" s="134"/>
    <row r="935" ht="14.25" customHeight="1" s="134"/>
    <row r="936" ht="14.25" customHeight="1" s="134"/>
    <row r="937" ht="14.25" customHeight="1" s="134"/>
    <row r="938" ht="14.25" customHeight="1" s="134"/>
    <row r="939" ht="14.25" customHeight="1" s="134"/>
    <row r="940" ht="14.25" customHeight="1" s="134"/>
    <row r="941" ht="14.25" customHeight="1" s="134"/>
    <row r="942" ht="14.25" customHeight="1" s="134"/>
    <row r="943" ht="14.25" customHeight="1" s="134"/>
    <row r="944" ht="14.25" customHeight="1" s="134"/>
    <row r="945" ht="14.25" customHeight="1" s="134"/>
    <row r="946" ht="14.25" customHeight="1" s="134"/>
    <row r="947" ht="14.25" customHeight="1" s="134"/>
    <row r="948" ht="14.25" customHeight="1" s="134"/>
    <row r="949" ht="14.25" customHeight="1" s="134"/>
    <row r="950" ht="14.25" customHeight="1" s="134"/>
    <row r="951" ht="14.25" customHeight="1" s="134"/>
    <row r="952" ht="14.25" customHeight="1" s="134"/>
    <row r="953" ht="14.25" customHeight="1" s="134"/>
    <row r="954" ht="14.25" customHeight="1" s="134"/>
    <row r="955" ht="14.25" customHeight="1" s="134"/>
    <row r="956" ht="14.25" customHeight="1" s="134"/>
    <row r="957" ht="14.25" customHeight="1" s="134"/>
    <row r="958" ht="14.25" customHeight="1" s="134"/>
    <row r="959" ht="14.25" customHeight="1" s="134"/>
    <row r="960" ht="14.25" customHeight="1" s="134"/>
    <row r="961" ht="14.25" customHeight="1" s="134"/>
    <row r="962" ht="14.25" customHeight="1" s="134"/>
    <row r="963" ht="14.25" customHeight="1" s="134"/>
    <row r="964" ht="14.25" customHeight="1" s="134"/>
    <row r="965" ht="14.25" customHeight="1" s="134"/>
    <row r="966" ht="14.25" customHeight="1" s="134"/>
    <row r="967" ht="14.25" customHeight="1" s="134"/>
    <row r="968" ht="14.25" customHeight="1" s="134"/>
    <row r="969" ht="14.25" customHeight="1" s="134"/>
    <row r="970" ht="14.25" customHeight="1" s="134"/>
    <row r="971" ht="14.25" customHeight="1" s="134"/>
    <row r="972" ht="14.25" customHeight="1" s="134"/>
    <row r="973" ht="14.25" customHeight="1" s="134"/>
    <row r="974" ht="14.25" customHeight="1" s="134"/>
    <row r="975" ht="14.25" customHeight="1" s="134"/>
    <row r="976" ht="14.25" customHeight="1" s="134"/>
    <row r="977" ht="14.25" customHeight="1" s="134"/>
    <row r="978" ht="14.25" customHeight="1" s="134"/>
    <row r="979" ht="14.25" customHeight="1" s="134"/>
    <row r="980" ht="14.25" customHeight="1" s="134"/>
    <row r="981" ht="14.25" customHeight="1" s="134"/>
    <row r="982" ht="14.25" customHeight="1" s="134"/>
    <row r="983" ht="14.25" customHeight="1" s="134"/>
    <row r="984" ht="14.25" customHeight="1" s="134"/>
    <row r="985" ht="14.25" customHeight="1" s="134"/>
    <row r="986" ht="14.25" customHeight="1" s="134"/>
    <row r="987" ht="14.25" customHeight="1" s="134"/>
    <row r="988" ht="14.25" customHeight="1" s="134"/>
    <row r="989" ht="14.25" customHeight="1" s="134"/>
    <row r="990" ht="14.25" customHeight="1" s="134"/>
    <row r="991" ht="14.25" customHeight="1" s="134"/>
    <row r="992" ht="14.25" customHeight="1" s="134"/>
    <row r="993" ht="14.25" customHeight="1" s="134"/>
    <row r="994" ht="14.25" customHeight="1" s="134"/>
    <row r="995" ht="14.25" customHeight="1" s="134"/>
    <row r="996" ht="14.25" customHeight="1" s="134"/>
    <row r="997" ht="14.25" customHeight="1" s="134"/>
    <row r="998" ht="14.25" customHeight="1" s="134"/>
    <row r="999" ht="14.25" customHeight="1" s="134"/>
    <row r="1000" ht="14.25" customHeight="1" s="134"/>
    <row r="1001" ht="14.25" customHeight="1" s="134"/>
    <row r="1002" ht="14.25" customHeight="1" s="134"/>
    <row r="1003" ht="14.25" customHeight="1" s="134"/>
    <row r="1004" ht="14.25" customHeight="1" s="134"/>
    <row r="1005" ht="14.25" customHeight="1" s="134"/>
    <row r="1006" ht="14.25" customHeight="1" s="134"/>
    <row r="1007" ht="14.25" customHeight="1" s="134"/>
    <row r="1008" ht="14.25" customHeight="1" s="134"/>
    <row r="1009" ht="14.25" customHeight="1" s="134"/>
    <row r="1010" ht="14.25" customHeight="1" s="134"/>
    <row r="1011" ht="14.25" customHeight="1" s="134"/>
    <row r="1012" ht="14.25" customHeight="1" s="134"/>
    <row r="1013" ht="14.25" customHeight="1" s="134"/>
    <row r="1014" ht="14.25" customHeight="1" s="134"/>
    <row r="1015" ht="14.25" customHeight="1" s="134"/>
    <row r="1016" ht="14.25" customHeight="1" s="134"/>
    <row r="1017" ht="14.25" customHeight="1" s="134"/>
    <row r="1018" ht="14.25" customHeight="1" s="134"/>
  </sheetData>
  <conditionalFormatting sqref="D70:AI70">
    <cfRule type="expression" priority="2" dxfId="3">
      <formula>D70&lt;0</formula>
    </cfRule>
    <cfRule type="expression" priority="3" dxfId="2">
      <formula>AND(D70&gt;=0,D70&lt;D72)</formula>
    </cfRule>
    <cfRule type="expression" priority="4" dxfId="1">
      <formula>D70&gt;=D72</formula>
    </cfRule>
  </conditionalFormatting>
  <conditionalFormatting sqref="D77:AI77">
    <cfRule type="expression" priority="1" dxfId="0">
      <formula>LEFT(D77,4)="Pedi"</formula>
    </cfRule>
  </conditionalFormatting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4" min="1" max="1"/>
    <col width="14" customWidth="1" style="134" min="2" max="2"/>
    <col width="14" customWidth="1" style="134" min="3" max="3"/>
    <col width="14" customWidth="1" style="134" min="4" max="4"/>
    <col width="14" customWidth="1" style="134" min="5" max="5"/>
    <col width="14" customWidth="1" style="134" min="6" max="6"/>
    <col width="11" customWidth="1" style="134" min="7" max="7"/>
    <col width="11" customWidth="1" style="134" min="8" max="8"/>
    <col width="11" customWidth="1" style="134" min="9" max="9"/>
    <col width="11" customWidth="1" style="134" min="10" max="10"/>
    <col width="11" customWidth="1" style="134" min="11" max="11"/>
    <col width="11" customWidth="1" style="134" min="12" max="12"/>
    <col width="11" customWidth="1" style="134" min="13" max="13"/>
    <col width="11" customWidth="1" style="134" min="14" max="14"/>
    <col width="11" customWidth="1" style="134" min="15" max="15"/>
    <col width="11" customWidth="1" style="134" min="16" max="16"/>
    <col width="11" customWidth="1" style="134" min="17" max="17"/>
    <col width="11" customWidth="1" style="134" min="18" max="18"/>
    <col width="11" customWidth="1" style="134" min="19" max="19"/>
    <col width="11" customWidth="1" style="134" min="20" max="20"/>
    <col width="11" customWidth="1" style="134" min="21" max="21"/>
    <col width="11" customWidth="1" style="134" min="22" max="22"/>
    <col width="11" customWidth="1" style="134" min="23" max="23"/>
    <col width="11" customWidth="1" style="134" min="24" max="24"/>
    <col width="11" customWidth="1" style="134" min="25" max="25"/>
    <col width="11" customWidth="1" style="134" min="26" max="26"/>
    <col width="11" customWidth="1" style="134" min="27" max="27"/>
    <col width="11" customWidth="1" style="134" min="28" max="28"/>
    <col width="11" customWidth="1" style="134" min="29" max="29"/>
    <col width="11" customWidth="1" style="134" min="30" max="30"/>
    <col width="11" customWidth="1" style="134" min="31" max="31"/>
    <col width="11" customWidth="1" style="134" min="32" max="32"/>
    <col width="11" customWidth="1" style="134" min="33" max="33"/>
  </cols>
  <sheetData>
    <row r="1">
      <c r="A1" s="164" t="inlineStr">
        <is>
          <t>ESCENARIOS DE CAJA — SEM 37-2026 a SEM 16-2027</t>
        </is>
      </c>
    </row>
    <row r="2" ht="32" customHeight="1" s="134">
      <c r="A2" s="165" t="inlineStr">
        <is>
          <t>Todo se calcula desde 'FLUJO SEMANAL (2)' y PARAMETROS. A = flujo tal como está. B = egresos fijos al promedio real de PARAMETROS (3.818/sem). C = B + septiembre con ingreso normal.</t>
        </is>
      </c>
    </row>
    <row r="4">
      <c r="A4" s="155" t="inlineStr">
        <is>
          <t>CONCEPTO</t>
        </is>
      </c>
      <c r="B4" s="155">
        <f>'FLUJO SEMANAL (2)'!D4</f>
        <v/>
      </c>
      <c r="C4" s="155">
        <f>'FLUJO SEMANAL (2)'!E4</f>
        <v/>
      </c>
      <c r="D4" s="155">
        <f>'FLUJO SEMANAL (2)'!F4</f>
        <v/>
      </c>
      <c r="E4" s="155">
        <f>'FLUJO SEMANAL (2)'!G4</f>
        <v/>
      </c>
      <c r="F4" s="155">
        <f>'FLUJO SEMANAL (2)'!H4</f>
        <v/>
      </c>
      <c r="G4" s="155">
        <f>'FLUJO SEMANAL (2)'!I4</f>
        <v/>
      </c>
      <c r="H4" s="155">
        <f>'FLUJO SEMANAL (2)'!J4</f>
        <v/>
      </c>
      <c r="I4" s="155">
        <f>'FLUJO SEMANAL (2)'!K4</f>
        <v/>
      </c>
      <c r="J4" s="155">
        <f>'FLUJO SEMANAL (2)'!L4</f>
        <v/>
      </c>
      <c r="K4" s="155">
        <f>'FLUJO SEMANAL (2)'!M4</f>
        <v/>
      </c>
      <c r="L4" s="155">
        <f>'FLUJO SEMANAL (2)'!N4</f>
        <v/>
      </c>
      <c r="M4" s="155">
        <f>'FLUJO SEMANAL (2)'!O4</f>
        <v/>
      </c>
      <c r="N4" s="155">
        <f>'FLUJO SEMANAL (2)'!P4</f>
        <v/>
      </c>
      <c r="O4" s="155">
        <f>'FLUJO SEMANAL (2)'!Q4</f>
        <v/>
      </c>
      <c r="P4" s="155">
        <f>'FLUJO SEMANAL (2)'!R4</f>
        <v/>
      </c>
      <c r="Q4" s="155">
        <f>'FLUJO SEMANAL (2)'!S4</f>
        <v/>
      </c>
      <c r="R4" s="155">
        <f>'FLUJO SEMANAL (2)'!T4</f>
        <v/>
      </c>
      <c r="S4" s="155">
        <f>'FLUJO SEMANAL (2)'!U4</f>
        <v/>
      </c>
      <c r="T4" s="155">
        <f>'FLUJO SEMANAL (2)'!V4</f>
        <v/>
      </c>
      <c r="U4" s="155">
        <f>'FLUJO SEMANAL (2)'!W4</f>
        <v/>
      </c>
      <c r="V4" s="155">
        <f>'FLUJO SEMANAL (2)'!X4</f>
        <v/>
      </c>
      <c r="W4" s="155">
        <f>'FLUJO SEMANAL (2)'!Y4</f>
        <v/>
      </c>
      <c r="X4" s="155">
        <f>'FLUJO SEMANAL (2)'!Z4</f>
        <v/>
      </c>
      <c r="Y4" s="155">
        <f>'FLUJO SEMANAL (2)'!AA4</f>
        <v/>
      </c>
      <c r="Z4" s="155">
        <f>'FLUJO SEMANAL (2)'!AB4</f>
        <v/>
      </c>
      <c r="AA4" s="155">
        <f>'FLUJO SEMANAL (2)'!AC4</f>
        <v/>
      </c>
      <c r="AB4" s="155">
        <f>'FLUJO SEMANAL (2)'!AD4</f>
        <v/>
      </c>
      <c r="AC4" s="155">
        <f>'FLUJO SEMANAL (2)'!AE4</f>
        <v/>
      </c>
      <c r="AD4" s="155">
        <f>'FLUJO SEMANAL (2)'!AF4</f>
        <v/>
      </c>
      <c r="AE4" s="155">
        <f>'FLUJO SEMANAL (2)'!AG4</f>
        <v/>
      </c>
      <c r="AF4" s="155">
        <f>'FLUJO SEMANAL (2)'!AH4</f>
        <v/>
      </c>
      <c r="AG4" s="155">
        <f>'FLUJO SEMANAL (2)'!AI4</f>
        <v/>
      </c>
    </row>
    <row r="5">
      <c r="B5">
        <f>'FLUJO SEMANAL (2)'!D5</f>
        <v/>
      </c>
      <c r="C5">
        <f>'FLUJO SEMANAL (2)'!E5</f>
        <v/>
      </c>
      <c r="D5">
        <f>'FLUJO SEMANAL (2)'!F5</f>
        <v/>
      </c>
      <c r="E5">
        <f>'FLUJO SEMANAL (2)'!G5</f>
        <v/>
      </c>
      <c r="F5">
        <f>'FLUJO SEMANAL (2)'!H5</f>
        <v/>
      </c>
      <c r="G5">
        <f>'FLUJO SEMANAL (2)'!I5</f>
        <v/>
      </c>
      <c r="H5">
        <f>'FLUJO SEMANAL (2)'!J5</f>
        <v/>
      </c>
      <c r="I5">
        <f>'FLUJO SEMANAL (2)'!K5</f>
        <v/>
      </c>
      <c r="J5">
        <f>'FLUJO SEMANAL (2)'!L5</f>
        <v/>
      </c>
      <c r="K5">
        <f>'FLUJO SEMANAL (2)'!M5</f>
        <v/>
      </c>
      <c r="L5">
        <f>'FLUJO SEMANAL (2)'!N5</f>
        <v/>
      </c>
      <c r="M5">
        <f>'FLUJO SEMANAL (2)'!O5</f>
        <v/>
      </c>
      <c r="N5">
        <f>'FLUJO SEMANAL (2)'!P5</f>
        <v/>
      </c>
      <c r="O5">
        <f>'FLUJO SEMANAL (2)'!Q5</f>
        <v/>
      </c>
      <c r="P5">
        <f>'FLUJO SEMANAL (2)'!R5</f>
        <v/>
      </c>
      <c r="Q5">
        <f>'FLUJO SEMANAL (2)'!S5</f>
        <v/>
      </c>
      <c r="R5">
        <f>'FLUJO SEMANAL (2)'!T5</f>
        <v/>
      </c>
      <c r="S5">
        <f>'FLUJO SEMANAL (2)'!U5</f>
        <v/>
      </c>
      <c r="T5">
        <f>'FLUJO SEMANAL (2)'!V5</f>
        <v/>
      </c>
      <c r="U5">
        <f>'FLUJO SEMANAL (2)'!W5</f>
        <v/>
      </c>
      <c r="V5">
        <f>'FLUJO SEMANAL (2)'!X5</f>
        <v/>
      </c>
      <c r="W5">
        <f>'FLUJO SEMANAL (2)'!Y5</f>
        <v/>
      </c>
      <c r="X5">
        <f>'FLUJO SEMANAL (2)'!Z5</f>
        <v/>
      </c>
      <c r="Y5">
        <f>'FLUJO SEMANAL (2)'!AA5</f>
        <v/>
      </c>
      <c r="Z5">
        <f>'FLUJO SEMANAL (2)'!AB5</f>
        <v/>
      </c>
      <c r="AA5">
        <f>'FLUJO SEMANAL (2)'!AC5</f>
        <v/>
      </c>
      <c r="AB5">
        <f>'FLUJO SEMANAL (2)'!AD5</f>
        <v/>
      </c>
      <c r="AC5">
        <f>'FLUJO SEMANAL (2)'!AE5</f>
        <v/>
      </c>
      <c r="AD5">
        <f>'FLUJO SEMANAL (2)'!AF5</f>
        <v/>
      </c>
      <c r="AE5">
        <f>'FLUJO SEMANAL (2)'!AG5</f>
        <v/>
      </c>
      <c r="AF5">
        <f>'FLUJO SEMANAL (2)'!AH5</f>
        <v/>
      </c>
      <c r="AG5">
        <f>'FLUJO SEMANAL (2)'!AI5</f>
        <v/>
      </c>
    </row>
    <row r="6">
      <c r="A6" s="166" t="inlineStr">
        <is>
          <t>ESCENARIO A</t>
        </is>
      </c>
    </row>
    <row r="7">
      <c r="A7" t="inlineStr">
        <is>
          <t>Flujo neto de la semana (A)</t>
        </is>
      </c>
      <c r="B7" s="167">
        <f>'FLUJO SEMANAL (2)'!D69</f>
        <v/>
      </c>
      <c r="C7" s="167">
        <f>'FLUJO SEMANAL (2)'!E69</f>
        <v/>
      </c>
      <c r="D7" s="167">
        <f>'FLUJO SEMANAL (2)'!F69</f>
        <v/>
      </c>
      <c r="E7" s="167">
        <f>'FLUJO SEMANAL (2)'!G69</f>
        <v/>
      </c>
      <c r="F7" s="167">
        <f>'FLUJO SEMANAL (2)'!H69</f>
        <v/>
      </c>
      <c r="G7" s="167">
        <f>'FLUJO SEMANAL (2)'!I69</f>
        <v/>
      </c>
      <c r="H7" s="167">
        <f>'FLUJO SEMANAL (2)'!J69</f>
        <v/>
      </c>
      <c r="I7" s="167">
        <f>'FLUJO SEMANAL (2)'!K69</f>
        <v/>
      </c>
      <c r="J7" s="167">
        <f>'FLUJO SEMANAL (2)'!L69</f>
        <v/>
      </c>
      <c r="K7" s="167">
        <f>'FLUJO SEMANAL (2)'!M69</f>
        <v/>
      </c>
      <c r="L7" s="167">
        <f>'FLUJO SEMANAL (2)'!N69</f>
        <v/>
      </c>
      <c r="M7" s="167">
        <f>'FLUJO SEMANAL (2)'!O69</f>
        <v/>
      </c>
      <c r="N7" s="167">
        <f>'FLUJO SEMANAL (2)'!P69</f>
        <v/>
      </c>
      <c r="O7" s="167">
        <f>'FLUJO SEMANAL (2)'!Q69</f>
        <v/>
      </c>
      <c r="P7" s="167">
        <f>'FLUJO SEMANAL (2)'!R69</f>
        <v/>
      </c>
      <c r="Q7" s="167">
        <f>'FLUJO SEMANAL (2)'!S69</f>
        <v/>
      </c>
      <c r="R7" s="167">
        <f>'FLUJO SEMANAL (2)'!T69</f>
        <v/>
      </c>
      <c r="S7" s="167">
        <f>'FLUJO SEMANAL (2)'!U69</f>
        <v/>
      </c>
      <c r="T7" s="167">
        <f>'FLUJO SEMANAL (2)'!V69</f>
        <v/>
      </c>
      <c r="U7" s="167">
        <f>'FLUJO SEMANAL (2)'!W69</f>
        <v/>
      </c>
      <c r="V7" s="167">
        <f>'FLUJO SEMANAL (2)'!X69</f>
        <v/>
      </c>
      <c r="W7" s="167">
        <f>'FLUJO SEMANAL (2)'!Y69</f>
        <v/>
      </c>
      <c r="X7" s="167">
        <f>'FLUJO SEMANAL (2)'!Z69</f>
        <v/>
      </c>
      <c r="Y7" s="167">
        <f>'FLUJO SEMANAL (2)'!AA69</f>
        <v/>
      </c>
      <c r="Z7" s="167">
        <f>'FLUJO SEMANAL (2)'!AB69</f>
        <v/>
      </c>
      <c r="AA7" s="167">
        <f>'FLUJO SEMANAL (2)'!AC69</f>
        <v/>
      </c>
      <c r="AB7" s="167">
        <f>'FLUJO SEMANAL (2)'!AD69</f>
        <v/>
      </c>
      <c r="AC7" s="167">
        <f>'FLUJO SEMANAL (2)'!AE69</f>
        <v/>
      </c>
      <c r="AD7" s="167">
        <f>'FLUJO SEMANAL (2)'!AF69</f>
        <v/>
      </c>
      <c r="AE7" s="167">
        <f>'FLUJO SEMANAL (2)'!AG69</f>
        <v/>
      </c>
      <c r="AF7" s="167">
        <f>'FLUJO SEMANAL (2)'!AH69</f>
        <v/>
      </c>
      <c r="AG7" s="167">
        <f>'FLUJO SEMANAL (2)'!AI69</f>
        <v/>
      </c>
    </row>
    <row r="8">
      <c r="A8" s="155" t="inlineStr">
        <is>
          <t>A · SALDO FINAL — flujo tal como está</t>
        </is>
      </c>
      <c r="B8" s="168">
        <f>'FLUJO SEMANAL (2)'!D70</f>
        <v/>
      </c>
      <c r="C8" s="168">
        <f>'FLUJO SEMANAL (2)'!E70</f>
        <v/>
      </c>
      <c r="D8" s="168">
        <f>'FLUJO SEMANAL (2)'!F70</f>
        <v/>
      </c>
      <c r="E8" s="168">
        <f>'FLUJO SEMANAL (2)'!G70</f>
        <v/>
      </c>
      <c r="F8" s="168">
        <f>'FLUJO SEMANAL (2)'!H70</f>
        <v/>
      </c>
      <c r="G8" s="168">
        <f>'FLUJO SEMANAL (2)'!I70</f>
        <v/>
      </c>
      <c r="H8" s="168">
        <f>'FLUJO SEMANAL (2)'!J70</f>
        <v/>
      </c>
      <c r="I8" s="168">
        <f>'FLUJO SEMANAL (2)'!K70</f>
        <v/>
      </c>
      <c r="J8" s="168">
        <f>'FLUJO SEMANAL (2)'!L70</f>
        <v/>
      </c>
      <c r="K8" s="168">
        <f>'FLUJO SEMANAL (2)'!M70</f>
        <v/>
      </c>
      <c r="L8" s="168">
        <f>'FLUJO SEMANAL (2)'!N70</f>
        <v/>
      </c>
      <c r="M8" s="168">
        <f>'FLUJO SEMANAL (2)'!O70</f>
        <v/>
      </c>
      <c r="N8" s="168">
        <f>'FLUJO SEMANAL (2)'!P70</f>
        <v/>
      </c>
      <c r="O8" s="168">
        <f>'FLUJO SEMANAL (2)'!Q70</f>
        <v/>
      </c>
      <c r="P8" s="168">
        <f>'FLUJO SEMANAL (2)'!R70</f>
        <v/>
      </c>
      <c r="Q8" s="168">
        <f>'FLUJO SEMANAL (2)'!S70</f>
        <v/>
      </c>
      <c r="R8" s="168">
        <f>'FLUJO SEMANAL (2)'!T70</f>
        <v/>
      </c>
      <c r="S8" s="168">
        <f>'FLUJO SEMANAL (2)'!U70</f>
        <v/>
      </c>
      <c r="T8" s="168">
        <f>'FLUJO SEMANAL (2)'!V70</f>
        <v/>
      </c>
      <c r="U8" s="168">
        <f>'FLUJO SEMANAL (2)'!W70</f>
        <v/>
      </c>
      <c r="V8" s="168">
        <f>'FLUJO SEMANAL (2)'!X70</f>
        <v/>
      </c>
      <c r="W8" s="168">
        <f>'FLUJO SEMANAL (2)'!Y70</f>
        <v/>
      </c>
      <c r="X8" s="168">
        <f>'FLUJO SEMANAL (2)'!Z70</f>
        <v/>
      </c>
      <c r="Y8" s="168">
        <f>'FLUJO SEMANAL (2)'!AA70</f>
        <v/>
      </c>
      <c r="Z8" s="168">
        <f>'FLUJO SEMANAL (2)'!AB70</f>
        <v/>
      </c>
      <c r="AA8" s="168">
        <f>'FLUJO SEMANAL (2)'!AC70</f>
        <v/>
      </c>
      <c r="AB8" s="168">
        <f>'FLUJO SEMANAL (2)'!AD70</f>
        <v/>
      </c>
      <c r="AC8" s="168">
        <f>'FLUJO SEMANAL (2)'!AE70</f>
        <v/>
      </c>
      <c r="AD8" s="168">
        <f>'FLUJO SEMANAL (2)'!AF70</f>
        <v/>
      </c>
      <c r="AE8" s="168">
        <f>'FLUJO SEMANAL (2)'!AG70</f>
        <v/>
      </c>
      <c r="AF8" s="168">
        <f>'FLUJO SEMANAL (2)'!AH70</f>
        <v/>
      </c>
      <c r="AG8" s="168">
        <f>'FLUJO SEMANAL (2)'!AI70</f>
        <v/>
      </c>
    </row>
    <row r="9">
      <c r="A9" s="166" t="inlineStr">
        <is>
          <t>ESCENARIO B</t>
        </is>
      </c>
    </row>
    <row r="10">
      <c r="A10" t="inlineStr">
        <is>
          <t>Ajuste: fijos PARAMETROS − fijos cargados</t>
        </is>
      </c>
      <c r="B10" s="167">
        <f>PARAMETROS!$B$52-'FLUJO SEMANAL (2)'!D21</f>
        <v/>
      </c>
      <c r="C10" s="167">
        <f>PARAMETROS!$B$52-'FLUJO SEMANAL (2)'!E21</f>
        <v/>
      </c>
      <c r="D10" s="167">
        <f>PARAMETROS!$B$52-'FLUJO SEMANAL (2)'!F21</f>
        <v/>
      </c>
      <c r="E10" s="167">
        <f>PARAMETROS!$B$52-'FLUJO SEMANAL (2)'!G21</f>
        <v/>
      </c>
      <c r="F10" s="167">
        <f>PARAMETROS!$B$52-'FLUJO SEMANAL (2)'!H21</f>
        <v/>
      </c>
      <c r="G10" s="167">
        <f>PARAMETROS!$B$52-'FLUJO SEMANAL (2)'!I21</f>
        <v/>
      </c>
      <c r="H10" s="167">
        <f>PARAMETROS!$B$52-'FLUJO SEMANAL (2)'!J21</f>
        <v/>
      </c>
      <c r="I10" s="167">
        <f>PARAMETROS!$B$52-'FLUJO SEMANAL (2)'!K21</f>
        <v/>
      </c>
      <c r="J10" s="167">
        <f>PARAMETROS!$B$52-'FLUJO SEMANAL (2)'!L21</f>
        <v/>
      </c>
      <c r="K10" s="167">
        <f>PARAMETROS!$B$52-'FLUJO SEMANAL (2)'!M21</f>
        <v/>
      </c>
      <c r="L10" s="167">
        <f>PARAMETROS!$B$52-'FLUJO SEMANAL (2)'!N21</f>
        <v/>
      </c>
      <c r="M10" s="167">
        <f>PARAMETROS!$B$52-'FLUJO SEMANAL (2)'!O21</f>
        <v/>
      </c>
      <c r="N10" s="167">
        <f>PARAMETROS!$B$52-'FLUJO SEMANAL (2)'!P21</f>
        <v/>
      </c>
      <c r="O10" s="167">
        <f>PARAMETROS!$B$52-'FLUJO SEMANAL (2)'!Q21</f>
        <v/>
      </c>
      <c r="P10" s="167">
        <f>PARAMETROS!$B$52-'FLUJO SEMANAL (2)'!R21</f>
        <v/>
      </c>
      <c r="Q10" s="167">
        <f>PARAMETROS!$B$52-'FLUJO SEMANAL (2)'!S21</f>
        <v/>
      </c>
      <c r="R10" s="167">
        <f>PARAMETROS!$B$52-'FLUJO SEMANAL (2)'!T21</f>
        <v/>
      </c>
      <c r="S10" s="167">
        <f>PARAMETROS!$B$52-'FLUJO SEMANAL (2)'!U21</f>
        <v/>
      </c>
      <c r="T10" s="167">
        <f>PARAMETROS!$B$52-'FLUJO SEMANAL (2)'!V21</f>
        <v/>
      </c>
      <c r="U10" s="167">
        <f>PARAMETROS!$B$52-'FLUJO SEMANAL (2)'!W21</f>
        <v/>
      </c>
      <c r="V10" s="167">
        <f>PARAMETROS!$B$52-'FLUJO SEMANAL (2)'!X21</f>
        <v/>
      </c>
      <c r="W10" s="167">
        <f>PARAMETROS!$B$52-'FLUJO SEMANAL (2)'!Y21</f>
        <v/>
      </c>
      <c r="X10" s="167">
        <f>PARAMETROS!$B$52-'FLUJO SEMANAL (2)'!Z21</f>
        <v/>
      </c>
      <c r="Y10" s="167">
        <f>PARAMETROS!$B$52-'FLUJO SEMANAL (2)'!AA21</f>
        <v/>
      </c>
      <c r="Z10" s="167">
        <f>PARAMETROS!$B$52-'FLUJO SEMANAL (2)'!AB21</f>
        <v/>
      </c>
      <c r="AA10" s="167">
        <f>PARAMETROS!$B$52-'FLUJO SEMANAL (2)'!AC21</f>
        <v/>
      </c>
      <c r="AB10" s="167">
        <f>PARAMETROS!$B$52-'FLUJO SEMANAL (2)'!AD21</f>
        <v/>
      </c>
      <c r="AC10" s="167">
        <f>PARAMETROS!$B$52-'FLUJO SEMANAL (2)'!AE21</f>
        <v/>
      </c>
      <c r="AD10" s="167">
        <f>PARAMETROS!$B$52-'FLUJO SEMANAL (2)'!AF21</f>
        <v/>
      </c>
      <c r="AE10" s="167">
        <f>PARAMETROS!$B$52-'FLUJO SEMANAL (2)'!AG21</f>
        <v/>
      </c>
      <c r="AF10" s="167">
        <f>PARAMETROS!$B$52-'FLUJO SEMANAL (2)'!AH21</f>
        <v/>
      </c>
      <c r="AG10" s="167">
        <f>PARAMETROS!$B$52-'FLUJO SEMANAL (2)'!AI21</f>
        <v/>
      </c>
    </row>
    <row r="11">
      <c r="A11" s="155" t="inlineStr">
        <is>
          <t>B · SALDO FINAL — fijos al promedio real</t>
        </is>
      </c>
      <c r="B11" s="168">
        <f>PARAMETROS!$B$11+B7-B10</f>
        <v/>
      </c>
      <c r="C11" s="168">
        <f>B11+C7-C10</f>
        <v/>
      </c>
      <c r="D11" s="168">
        <f>C11+D7-D10</f>
        <v/>
      </c>
      <c r="E11" s="168">
        <f>D11+E7-E10</f>
        <v/>
      </c>
      <c r="F11" s="168">
        <f>E11+F7-F10</f>
        <v/>
      </c>
      <c r="G11" s="168">
        <f>F11+G7-G10</f>
        <v/>
      </c>
      <c r="H11" s="168">
        <f>G11+H7-H10</f>
        <v/>
      </c>
      <c r="I11" s="168">
        <f>H11+I7-I10</f>
        <v/>
      </c>
      <c r="J11" s="168">
        <f>I11+J7-J10</f>
        <v/>
      </c>
      <c r="K11" s="168">
        <f>J11+K7-K10</f>
        <v/>
      </c>
      <c r="L11" s="168">
        <f>K11+L7-L10</f>
        <v/>
      </c>
      <c r="M11" s="168">
        <f>L11+M7-M10</f>
        <v/>
      </c>
      <c r="N11" s="168">
        <f>M11+N7-N10</f>
        <v/>
      </c>
      <c r="O11" s="168">
        <f>N11+O7-O10</f>
        <v/>
      </c>
      <c r="P11" s="168">
        <f>O11+P7-P10</f>
        <v/>
      </c>
      <c r="Q11" s="168">
        <f>P11+Q7-Q10</f>
        <v/>
      </c>
      <c r="R11" s="168">
        <f>Q11+R7-R10</f>
        <v/>
      </c>
      <c r="S11" s="168">
        <f>R11+S7-S10</f>
        <v/>
      </c>
      <c r="T11" s="168">
        <f>S11+T7-T10</f>
        <v/>
      </c>
      <c r="U11" s="168">
        <f>T11+U7-U10</f>
        <v/>
      </c>
      <c r="V11" s="168">
        <f>U11+V7-V10</f>
        <v/>
      </c>
      <c r="W11" s="168">
        <f>V11+W7-W10</f>
        <v/>
      </c>
      <c r="X11" s="168">
        <f>W11+X7-X10</f>
        <v/>
      </c>
      <c r="Y11" s="168">
        <f>X11+Y7-Y10</f>
        <v/>
      </c>
      <c r="Z11" s="168">
        <f>Y11+Z7-Z10</f>
        <v/>
      </c>
      <c r="AA11" s="168">
        <f>Z11+AA7-AA10</f>
        <v/>
      </c>
      <c r="AB11" s="168">
        <f>AA11+AB7-AB10</f>
        <v/>
      </c>
      <c r="AC11" s="168">
        <f>AB11+AC7-AC10</f>
        <v/>
      </c>
      <c r="AD11" s="168">
        <f>AC11+AD7-AD10</f>
        <v/>
      </c>
      <c r="AE11" s="168">
        <f>AD11+AE7-AE10</f>
        <v/>
      </c>
      <c r="AF11" s="168">
        <f>AE11+AF7-AF10</f>
        <v/>
      </c>
      <c r="AG11" s="168">
        <f>AF11+AG7-AG10</f>
        <v/>
      </c>
    </row>
    <row r="12">
      <c r="A12" s="166" t="inlineStr">
        <is>
          <t>ESCENARIO C</t>
        </is>
      </c>
    </row>
    <row r="13">
      <c r="A13" t="inlineStr">
        <is>
          <t>Ajuste: septiembre a ingreso normal (solo SEM 37)</t>
        </is>
      </c>
      <c r="B13" s="167">
        <f>PARAMETROS!$B$53-SUM('FLUJO SEMANAL (2)'!$D$8:$F$8)</f>
        <v/>
      </c>
      <c r="C13" s="167">
        <f>0</f>
        <v/>
      </c>
      <c r="D13" s="167">
        <f>0</f>
        <v/>
      </c>
      <c r="E13" s="167">
        <f>0</f>
        <v/>
      </c>
      <c r="F13" s="167">
        <f>0</f>
        <v/>
      </c>
      <c r="G13" s="167">
        <f>0</f>
        <v/>
      </c>
      <c r="H13" s="167">
        <f>0</f>
        <v/>
      </c>
      <c r="I13" s="167">
        <f>0</f>
        <v/>
      </c>
      <c r="J13" s="167">
        <f>0</f>
        <v/>
      </c>
      <c r="K13" s="167">
        <f>0</f>
        <v/>
      </c>
      <c r="L13" s="167">
        <f>0</f>
        <v/>
      </c>
      <c r="M13" s="167">
        <f>0</f>
        <v/>
      </c>
      <c r="N13" s="167">
        <f>0</f>
        <v/>
      </c>
      <c r="O13" s="167">
        <f>0</f>
        <v/>
      </c>
      <c r="P13" s="167">
        <f>0</f>
        <v/>
      </c>
      <c r="Q13" s="167">
        <f>0</f>
        <v/>
      </c>
      <c r="R13" s="167">
        <f>0</f>
        <v/>
      </c>
      <c r="S13" s="167">
        <f>0</f>
        <v/>
      </c>
      <c r="T13" s="167">
        <f>0</f>
        <v/>
      </c>
      <c r="U13" s="167">
        <f>0</f>
        <v/>
      </c>
      <c r="V13" s="167">
        <f>0</f>
        <v/>
      </c>
      <c r="W13" s="167">
        <f>0</f>
        <v/>
      </c>
      <c r="X13" s="167">
        <f>0</f>
        <v/>
      </c>
      <c r="Y13" s="167">
        <f>0</f>
        <v/>
      </c>
      <c r="Z13" s="167">
        <f>0</f>
        <v/>
      </c>
      <c r="AA13" s="167">
        <f>0</f>
        <v/>
      </c>
      <c r="AB13" s="167">
        <f>0</f>
        <v/>
      </c>
      <c r="AC13" s="167">
        <f>0</f>
        <v/>
      </c>
      <c r="AD13" s="167">
        <f>0</f>
        <v/>
      </c>
      <c r="AE13" s="167">
        <f>0</f>
        <v/>
      </c>
      <c r="AF13" s="167">
        <f>0</f>
        <v/>
      </c>
      <c r="AG13" s="167">
        <f>0</f>
        <v/>
      </c>
    </row>
    <row r="14">
      <c r="A14" s="155" t="inlineStr">
        <is>
          <t>C · SALDO FINAL — B + septiembre normal</t>
        </is>
      </c>
      <c r="B14" s="168">
        <f>PARAMETROS!$B$11+B7-B10+B13</f>
        <v/>
      </c>
      <c r="C14" s="168">
        <f>B14+C7-C10+C13</f>
        <v/>
      </c>
      <c r="D14" s="168">
        <f>C14+D7-D10+D13</f>
        <v/>
      </c>
      <c r="E14" s="168">
        <f>D14+E7-E10+E13</f>
        <v/>
      </c>
      <c r="F14" s="168">
        <f>E14+F7-F10+F13</f>
        <v/>
      </c>
      <c r="G14" s="168">
        <f>F14+G7-G10+G13</f>
        <v/>
      </c>
      <c r="H14" s="168">
        <f>G14+H7-H10+H13</f>
        <v/>
      </c>
      <c r="I14" s="168">
        <f>H14+I7-I10+I13</f>
        <v/>
      </c>
      <c r="J14" s="168">
        <f>I14+J7-J10+J13</f>
        <v/>
      </c>
      <c r="K14" s="168">
        <f>J14+K7-K10+K13</f>
        <v/>
      </c>
      <c r="L14" s="168">
        <f>K14+L7-L10+L13</f>
        <v/>
      </c>
      <c r="M14" s="168">
        <f>L14+M7-M10+M13</f>
        <v/>
      </c>
      <c r="N14" s="168">
        <f>M14+N7-N10+N13</f>
        <v/>
      </c>
      <c r="O14" s="168">
        <f>N14+O7-O10+O13</f>
        <v/>
      </c>
      <c r="P14" s="168">
        <f>O14+P7-P10+P13</f>
        <v/>
      </c>
      <c r="Q14" s="168">
        <f>P14+Q7-Q10+Q13</f>
        <v/>
      </c>
      <c r="R14" s="168">
        <f>Q14+R7-R10+R13</f>
        <v/>
      </c>
      <c r="S14" s="168">
        <f>R14+S7-S10+S13</f>
        <v/>
      </c>
      <c r="T14" s="168">
        <f>S14+T7-T10+T13</f>
        <v/>
      </c>
      <c r="U14" s="168">
        <f>T14+U7-U10+U13</f>
        <v/>
      </c>
      <c r="V14" s="168">
        <f>U14+V7-V10+V13</f>
        <v/>
      </c>
      <c r="W14" s="168">
        <f>V14+W7-W10+W13</f>
        <v/>
      </c>
      <c r="X14" s="168">
        <f>W14+X7-X10+X13</f>
        <v/>
      </c>
      <c r="Y14" s="168">
        <f>X14+Y7-Y10+Y13</f>
        <v/>
      </c>
      <c r="Z14" s="168">
        <f>Y14+Z7-Z10+Z13</f>
        <v/>
      </c>
      <c r="AA14" s="168">
        <f>Z14+AA7-AA10+AA13</f>
        <v/>
      </c>
      <c r="AB14" s="168">
        <f>AA14+AB7-AB10+AB13</f>
        <v/>
      </c>
      <c r="AC14" s="168">
        <f>AB14+AC7-AC10+AC13</f>
        <v/>
      </c>
      <c r="AD14" s="168">
        <f>AC14+AD7-AD10+AD13</f>
        <v/>
      </c>
      <c r="AE14" s="168">
        <f>AD14+AE7-AE10+AE13</f>
        <v/>
      </c>
      <c r="AF14" s="168">
        <f>AE14+AF7-AF10+AF13</f>
        <v/>
      </c>
      <c r="AG14" s="168">
        <f>AF14+AG7-AG10+AG13</f>
        <v/>
      </c>
    </row>
    <row r="17">
      <c r="A17" s="169" t="inlineStr">
        <is>
          <t>RESUMEN</t>
        </is>
      </c>
    </row>
    <row r="18" ht="45" customHeight="1" s="134">
      <c r="A18" s="170" t="inlineStr">
        <is>
          <t>Escenario</t>
        </is>
      </c>
      <c r="B18" s="170" t="inlineStr">
        <is>
          <t>Saldo mínimo</t>
        </is>
      </c>
      <c r="C18" s="170" t="inlineStr">
        <is>
          <t>Saldo final SEM 16</t>
        </is>
      </c>
      <c r="D18" s="170" t="inlineStr">
        <is>
          <t>Semanas bajo caja mínima</t>
        </is>
      </c>
      <c r="E18" s="170" t="inlineStr">
        <is>
          <t>Semanas con caja negativa</t>
        </is>
      </c>
      <c r="F18" s="170" t="inlineStr">
        <is>
          <t>Fondeo adicional para no bajar de la caja mínima</t>
        </is>
      </c>
    </row>
    <row r="19">
      <c r="A19" t="inlineStr">
        <is>
          <t>A · Flujo tal como está</t>
        </is>
      </c>
      <c r="B19" s="167">
        <f>MIN($B$8:$AG$8)</f>
        <v/>
      </c>
      <c r="C19" s="167">
        <f>AG8</f>
        <v/>
      </c>
      <c r="D19">
        <f>COUNTIF($B$8:$AG$8,"&lt;"&amp;PARAMETROS!$B$28)</f>
        <v/>
      </c>
      <c r="E19">
        <f>COUNTIF($B$8:$AG$8,"&lt;0")</f>
        <v/>
      </c>
      <c r="F19" s="167">
        <f>MAX(0,PARAMETROS!$B$28-B19)</f>
        <v/>
      </c>
    </row>
    <row r="20">
      <c r="A20" t="inlineStr">
        <is>
          <t>B · Fijos al promedio real</t>
        </is>
      </c>
      <c r="B20" s="167">
        <f>MIN($B$11:$AG$11)</f>
        <v/>
      </c>
      <c r="C20" s="167">
        <f>AG11</f>
        <v/>
      </c>
      <c r="D20">
        <f>COUNTIF($B$11:$AG$11,"&lt;"&amp;PARAMETROS!$B$28)</f>
        <v/>
      </c>
      <c r="E20">
        <f>COUNTIF($B$11:$AG$11,"&lt;0")</f>
        <v/>
      </c>
      <c r="F20" s="167">
        <f>MAX(0,PARAMETROS!$B$28-B20)</f>
        <v/>
      </c>
    </row>
    <row r="21">
      <c r="A21" t="inlineStr">
        <is>
          <t>C · B + septiembre normal</t>
        </is>
      </c>
      <c r="B21" s="167">
        <f>MIN($B$14:$AG$14)</f>
        <v/>
      </c>
      <c r="C21" s="167">
        <f>AG14</f>
        <v/>
      </c>
      <c r="D21">
        <f>COUNTIF($B$14:$AG$14,"&lt;"&amp;PARAMETROS!$B$28)</f>
        <v/>
      </c>
      <c r="E21">
        <f>COUNTIF($B$14:$AG$14,"&lt;0")</f>
        <v/>
      </c>
      <c r="F21" s="167">
        <f>MAX(0,PARAMETROS!$B$28-B21)</f>
        <v/>
      </c>
    </row>
    <row r="23" ht="30" customHeight="1" s="134">
      <c r="A23" s="165" t="inlineStr">
        <is>
          <t>Lectura: el fondeo adicional de la columna F es lo que habría que sumar a los 90.000 de Agroaéreo ya programados para no perforar la caja mínima en ninguna semana, si ese escenario ocurre.</t>
        </is>
      </c>
    </row>
    <row r="24" ht="30" customHeight="1" s="134">
      <c r="A24" s="165" t="inlineStr">
        <is>
          <t>Pendiente del usuario: decidir si la base real de egresos fijos es la de PARAMETROS (B) o la cargada semana a semana (A), y confirmar si los cobros de septiembre son reales (A/B) o proyectados (C).</t>
        </is>
      </c>
    </row>
  </sheetData>
  <mergeCells count="3">
    <mergeCell ref="A2:K2"/>
    <mergeCell ref="A23:K23"/>
    <mergeCell ref="A24:K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22"/>
  <sheetViews>
    <sheetView showGridLines="0" zoomScale="90" zoomScaleNormal="90" workbookViewId="0">
      <pane xSplit="5" ySplit="5" topLeftCell="F6" activePane="bottomRight" state="frozen"/>
      <selection pane="topRight" activeCell="F1" sqref="F1"/>
      <selection pane="bottomLeft" activeCell="A5" sqref="A5"/>
      <selection pane="bottomRight" activeCell="A1" sqref="A1:M23"/>
    </sheetView>
  </sheetViews>
  <sheetFormatPr baseColWidth="10" defaultRowHeight="14.4"/>
  <cols>
    <col width="2.6640625" customWidth="1" style="134" min="1" max="1"/>
    <col width="58.77734375" customWidth="1" style="134" min="2" max="2"/>
    <col width="9.77734375" customWidth="1" style="134" min="3" max="3"/>
    <col width="13.109375" customWidth="1" style="134" min="4" max="4"/>
    <col width="13.21875" customWidth="1" style="134" min="5" max="5"/>
    <col width="12.6640625" customWidth="1" style="134" min="6" max="13"/>
    <col width="44.77734375" customWidth="1" style="134" min="14" max="14"/>
  </cols>
  <sheetData>
    <row r="2" ht="17.4" customHeight="1" s="134">
      <c r="B2" s="105" t="inlineStr">
        <is>
          <t>DIAGRAMA DE GANTT — OBRAS DE BODEGAS MOBIJUESA · septiembre 2026 a abril 2027</t>
        </is>
      </c>
    </row>
    <row r="3" ht="31.2" customHeight="1" s="134">
      <c r="B3" s="171" t="inlineStr">
        <is>
          <t>Cada barra va del mes de inicio al mes de fin de la obra según el calendario de pagos de FLUJO SEMANAL (2) (semanas 37 a 16). El texto dentro de la barra es vivo: m², costo total (columna B de los subtotales de obra) y costo por m² (columna C). Si cambia un costo en el flujo, la barra se actualiza; si cambia el calendario, mueva las columnas Inicio/Fin (amarillas).</t>
        </is>
      </c>
      <c r="N3" s="129" t="n"/>
    </row>
    <row r="4" customFormat="1" s="60">
      <c r="B4" s="120" t="inlineStr">
        <is>
          <t>Nº de mes →</t>
        </is>
      </c>
      <c r="C4" s="121" t="inlineStr">
        <is>
          <t>Inicio</t>
        </is>
      </c>
      <c r="D4" s="121" t="inlineStr">
        <is>
          <t>Fin</t>
        </is>
      </c>
      <c r="F4" s="120" t="n">
        <v>1</v>
      </c>
      <c r="G4" s="120" t="n">
        <v>2</v>
      </c>
      <c r="H4" s="120" t="n">
        <v>3</v>
      </c>
      <c r="I4" s="120" t="n">
        <v>4</v>
      </c>
      <c r="J4" s="120" t="n">
        <v>5</v>
      </c>
      <c r="K4" s="120" t="n">
        <v>6</v>
      </c>
      <c r="L4" s="120" t="n">
        <v>7</v>
      </c>
      <c r="M4" s="120" t="n">
        <v>8</v>
      </c>
    </row>
    <row r="5" ht="21" customFormat="1" customHeight="1" s="104">
      <c r="B5" s="114" t="inlineStr">
        <is>
          <t>OBRA / BODEGA</t>
        </is>
      </c>
      <c r="C5" s="114" t="inlineStr">
        <is>
          <t>m²</t>
        </is>
      </c>
      <c r="D5" s="114" t="inlineStr">
        <is>
          <t>Costo total</t>
        </is>
      </c>
      <c r="E5" s="114" t="inlineStr">
        <is>
          <t>$/m²</t>
        </is>
      </c>
      <c r="F5" s="115" t="n">
        <v>46291</v>
      </c>
      <c r="G5" s="115" t="n">
        <v>46321</v>
      </c>
      <c r="H5" s="115" t="n">
        <v>46352</v>
      </c>
      <c r="I5" s="114" t="inlineStr">
        <is>
          <t>dic-26</t>
        </is>
      </c>
      <c r="J5" s="114" t="inlineStr">
        <is>
          <t>ene-27</t>
        </is>
      </c>
      <c r="K5" s="115" t="n">
        <v>46080</v>
      </c>
      <c r="L5" s="115" t="n">
        <v>46108</v>
      </c>
      <c r="M5" s="114" t="inlineStr">
        <is>
          <t>abr-27</t>
        </is>
      </c>
      <c r="N5" s="114" t="inlineStr">
        <is>
          <t>Observación</t>
        </is>
      </c>
    </row>
    <row r="6" ht="34.05" customHeight="1" s="134">
      <c r="B6" s="111" t="inlineStr">
        <is>
          <t>Bodega 1.300 m² (Bod. 16-17: estructura Tapia, cimentación y piso Flores, pozo, 5 puertas)</t>
        </is>
      </c>
      <c r="C6" s="172" t="n">
        <v>1300</v>
      </c>
      <c r="D6" s="173">
        <f>'FLUJO SEMANAL (2)'!B36</f>
        <v/>
      </c>
      <c r="E6" s="174">
        <f>IF(C6=0,0,D6/C6)</f>
        <v/>
      </c>
      <c r="F6" s="143">
        <f>TEXT(C6,"#.##0")&amp;" m²  ·  "&amp;TEXT(D6,"$#.##0")&amp;"  ·  "&amp;TEXT(E6,"$#.##0,00")&amp;"/m²"</f>
        <v/>
      </c>
      <c r="G6" s="175" t="n"/>
      <c r="H6" s="176" t="n"/>
      <c r="I6" s="107" t="n"/>
      <c r="J6" s="107" t="n"/>
      <c r="K6" s="107" t="n"/>
      <c r="L6" s="107" t="n"/>
      <c r="M6" s="107" t="n"/>
      <c r="N6" s="108" t="inlineStr">
        <is>
          <t>Ejecutado antes de SEM 37: $111.272 de $145.123; remanente sep-nov</t>
        </is>
      </c>
    </row>
    <row r="7" ht="34.05" customHeight="1" s="134">
      <c r="B7" s="111" t="inlineStr">
        <is>
          <t>Bodega 150 m² (contenedores + estructura metálica)</t>
        </is>
      </c>
      <c r="C7" s="172" t="n">
        <v>150</v>
      </c>
      <c r="D7" s="173">
        <f>'FLUJO SEMANAL (2)'!B46</f>
        <v/>
      </c>
      <c r="E7" s="174">
        <f>IF(C7=0,0,D7/C7)</f>
        <v/>
      </c>
      <c r="F7" s="144">
        <f>TEXT(C7,"#.##0")&amp;" m²  ·  "&amp;TEXT(D7,"$#.##0")&amp;"  ·  "&amp;TEXT(E7,"$#.##0,00")&amp;"/m²"</f>
        <v/>
      </c>
      <c r="G7" s="175" t="n"/>
      <c r="H7" s="176" t="n"/>
      <c r="I7" s="107" t="n"/>
      <c r="J7" s="107" t="n"/>
      <c r="K7" s="107" t="n"/>
      <c r="L7" s="107" t="n"/>
      <c r="M7" s="107" t="n"/>
      <c r="N7" s="108" t="n"/>
    </row>
    <row r="8" ht="34.05" customHeight="1" s="134">
      <c r="B8" s="111" t="inlineStr">
        <is>
          <t>Bodega Compatty 680 m² (Flores + estructura Sra. Ruth)</t>
        </is>
      </c>
      <c r="C8" s="172" t="n">
        <v>680</v>
      </c>
      <c r="D8" s="173">
        <f>'FLUJO SEMANAL (2)'!B53</f>
        <v/>
      </c>
      <c r="E8" s="174">
        <f>IF(C8=0,0,D8/C8)</f>
        <v/>
      </c>
      <c r="F8" s="145">
        <f>TEXT(C8,"#.##0")&amp;" m²  ·  "&amp;TEXT(D8,"$#.##0")&amp;"  ·  "&amp;TEXT(E8,"$#.##0,00")&amp;"/m²"</f>
        <v/>
      </c>
      <c r="G8" s="175" t="n"/>
      <c r="H8" s="176" t="n"/>
      <c r="I8" s="107" t="n"/>
      <c r="J8" s="107" t="n"/>
      <c r="K8" s="107" t="n"/>
      <c r="L8" s="107" t="n"/>
      <c r="M8" s="107" t="n"/>
      <c r="N8" s="108" t="inlineStr">
        <is>
          <t>14 tubos ($6.500) aún sin programar</t>
        </is>
      </c>
    </row>
    <row r="9" ht="34.05" customHeight="1" s="134">
      <c r="B9" s="111" t="inlineStr">
        <is>
          <t>Paso vial 200 m² (Ruth + enblocado/enlucido Flores)</t>
        </is>
      </c>
      <c r="C9" s="172" t="n">
        <v>200</v>
      </c>
      <c r="D9" s="173">
        <f>'FLUJO SEMANAL (2)'!B58</f>
        <v/>
      </c>
      <c r="E9" s="174">
        <f>IF(C9=0,0,D9/C9)</f>
        <v/>
      </c>
      <c r="F9" s="146">
        <f>TEXT(C9,"#.##0")&amp;" m²  ·  "&amp;TEXT(D9,"$#.##0")&amp;"  ·  "&amp;TEXT(E9,"$#.##0,00")&amp;"/m²"</f>
        <v/>
      </c>
      <c r="G9" s="175" t="n"/>
      <c r="H9" s="175" t="n"/>
      <c r="I9" s="175" t="n"/>
      <c r="J9" s="176" t="n"/>
      <c r="K9" s="107" t="n"/>
      <c r="L9" s="107" t="n"/>
      <c r="M9" s="107" t="n"/>
      <c r="N9" s="108" t="n"/>
    </row>
    <row r="10" ht="34.05" customHeight="1" s="134">
      <c r="B10" s="111" t="inlineStr">
        <is>
          <t>Remodelación 900 m² ($40/m²)</t>
        </is>
      </c>
      <c r="C10" s="172" t="n">
        <v>900</v>
      </c>
      <c r="D10" s="173">
        <f>'FLUJO SEMANAL (2)'!B62</f>
        <v/>
      </c>
      <c r="E10" s="174">
        <f>IF(C10=0,0,D10/C10)</f>
        <v/>
      </c>
      <c r="F10" s="107" t="n"/>
      <c r="G10" s="107" t="n"/>
      <c r="H10" s="147">
        <f>TEXT(C10,"#.##0")&amp;" m²  ·  "&amp;TEXT(D10,"$#.##0")&amp;"  ·  "&amp;TEXT(E10,"$#.##0,00")&amp;"/m²"</f>
        <v/>
      </c>
      <c r="I10" s="176" t="n"/>
      <c r="J10" s="107" t="n"/>
      <c r="K10" s="107" t="n"/>
      <c r="L10" s="107" t="n"/>
      <c r="M10" s="107" t="n"/>
      <c r="N10" s="108" t="n"/>
    </row>
    <row r="11" ht="34.05" customHeight="1" s="134">
      <c r="B11" s="111" t="inlineStr">
        <is>
          <t>Readecuación 750 m² (a $111,63/m² de la bodega 1.300)</t>
        </is>
      </c>
      <c r="C11" s="172" t="n">
        <v>750</v>
      </c>
      <c r="D11" s="173">
        <f>'FLUJO SEMANAL (2)'!B64</f>
        <v/>
      </c>
      <c r="E11" s="174">
        <f>IF(C11=0,0,D11/C11)</f>
        <v/>
      </c>
      <c r="F11" s="107" t="n"/>
      <c r="G11" s="107" t="n"/>
      <c r="H11" s="139">
        <f>TEXT(C11,"#.##0")&amp;" m²  ·  "&amp;TEXT(D11,"$#.##0")&amp;"  ·  "&amp;TEXT(E11,"$#.##0,00")&amp;"/m²"</f>
        <v/>
      </c>
      <c r="I11" s="175" t="n"/>
      <c r="J11" s="175" t="n"/>
      <c r="K11" s="176" t="n"/>
      <c r="L11" s="107" t="n"/>
      <c r="M11" s="107" t="n"/>
      <c r="N11" s="108" t="n"/>
    </row>
    <row r="12" ht="34.05" customHeight="1" s="134">
      <c r="B12" s="111" t="inlineStr">
        <is>
          <t>Bodegas nuevas 600 m²</t>
        </is>
      </c>
      <c r="C12" s="172" t="n">
        <v>600</v>
      </c>
      <c r="D12" s="173">
        <f>'FLUJO SEMANAL (2)'!B65</f>
        <v/>
      </c>
      <c r="E12" s="174">
        <f>IF(C12=0,0,D12/C12)</f>
        <v/>
      </c>
      <c r="F12" s="107" t="n"/>
      <c r="G12" s="107" t="n"/>
      <c r="H12" s="107" t="n"/>
      <c r="I12" s="107" t="n"/>
      <c r="J12" s="107" t="n"/>
      <c r="K12" s="140">
        <f>TEXT(C12,"#.##0")&amp;" m²  ·  "&amp;TEXT(D12,"$#.##0")&amp;"  ·  "&amp;TEXT(E12,"$#.##0,00")&amp;"/m²"</f>
        <v/>
      </c>
      <c r="L12" s="175" t="n"/>
      <c r="M12" s="176" t="n"/>
      <c r="N12" s="108" t="n"/>
    </row>
    <row r="13" ht="34.05" customHeight="1" s="134">
      <c r="B13" s="111" t="inlineStr">
        <is>
          <t>Bodegas nuevas 432 m²</t>
        </is>
      </c>
      <c r="C13" s="172" t="n">
        <v>432</v>
      </c>
      <c r="D13" s="173">
        <f>'FLUJO SEMANAL (2)'!B63</f>
        <v/>
      </c>
      <c r="E13" s="174">
        <f>IF(C13=0,0,D13/C13)</f>
        <v/>
      </c>
      <c r="F13" s="107" t="n"/>
      <c r="G13" s="107" t="n"/>
      <c r="H13" s="107" t="n"/>
      <c r="I13" s="107" t="n"/>
      <c r="J13" s="107" t="n"/>
      <c r="K13" s="141">
        <f>TEXT(C13,"#.##0")&amp;" m²  ·  "&amp;TEXT(D13,"$#.##0")&amp;"  ·  "&amp;TEXT(E13,"$#.##0,00")&amp;"/m²"</f>
        <v/>
      </c>
      <c r="L13" s="175" t="n"/>
      <c r="M13" s="176" t="n"/>
      <c r="N13" s="108" t="n"/>
    </row>
    <row r="14" ht="34.05" customFormat="1" customHeight="1" s="119">
      <c r="B14" s="116" t="inlineStr">
        <is>
          <t>Adoquinado 6.000 m² ($20,11/m²)</t>
        </is>
      </c>
      <c r="C14" s="177" t="n">
        <v>6000</v>
      </c>
      <c r="D14" s="178">
        <f>'FLUJO SEMANAL (2)'!B61</f>
        <v/>
      </c>
      <c r="E14" s="174">
        <f>IF(C14=0,0,D14/C14)</f>
        <v/>
      </c>
      <c r="F14" s="142">
        <f>"SIN PROGRAMAR EN EL HORIZONTE — "&amp;TEXT(D14,"$#.##0")&amp;" ("&amp;TEXT(E14,"$#.##0,00")&amp;"/m²)"</f>
        <v/>
      </c>
      <c r="G14" s="175" t="n"/>
      <c r="H14" s="175" t="n"/>
      <c r="I14" s="175" t="n"/>
      <c r="J14" s="175" t="n"/>
      <c r="K14" s="175" t="n"/>
      <c r="L14" s="175" t="n"/>
      <c r="M14" s="176" t="n"/>
      <c r="N14" s="118" t="inlineStr">
        <is>
          <t>SIN PROGRAMAR en el horizonte: $120.657 fuera del flujo (columna DIFERENCIA)</t>
        </is>
      </c>
    </row>
    <row r="15">
      <c r="B15" s="109" t="inlineStr">
        <is>
          <t>TOTAL OBRAS (con adoquinado)</t>
        </is>
      </c>
      <c r="C15" s="179">
        <f>SUM(C6:C14)</f>
        <v/>
      </c>
      <c r="D15" s="180">
        <f>SUM(D6:D14)</f>
        <v/>
      </c>
      <c r="E15" s="181">
        <f>IF(C15=0,0,D15/C15)</f>
        <v/>
      </c>
      <c r="F15" s="107" t="n"/>
      <c r="G15" s="107" t="n"/>
      <c r="H15" s="107" t="n"/>
      <c r="I15" s="107" t="n"/>
      <c r="J15" s="107" t="n"/>
      <c r="K15" s="107" t="n"/>
      <c r="L15" s="107" t="n"/>
      <c r="M15" s="107" t="n"/>
      <c r="N15" s="107" t="n"/>
    </row>
    <row r="16">
      <c r="B16" s="110" t="inlineStr">
        <is>
          <t>Programado en el flujo (SEM 37 a SEM 16) / Diferencia sin programar</t>
        </is>
      </c>
      <c r="C16" s="107" t="n"/>
      <c r="D16" s="182">
        <f>'FLUJO SEMANAL (2)'!AJ66</f>
        <v/>
      </c>
      <c r="E16" s="181">
        <f>'FLUJO SEMANAL (2)'!AK66</f>
        <v/>
      </c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</row>
    <row r="17">
      <c r="B17" s="110" t="inlineStr">
        <is>
          <t>Ya ejecutado antes de la SEM 37 (columna SALDO INICIAL de las filas de obra)</t>
        </is>
      </c>
      <c r="C17" s="107" t="n"/>
      <c r="D17" s="182">
        <f>SUM('FLUJO SEMANAL (2)'!C23:C35)+SUM('FLUJO SEMANAL (2)'!C37:C45)+SUM('FLUJO SEMANAL (2)'!C47:C52)+SUM('FLUJO SEMANAL (2)'!C54:C57)</f>
        <v/>
      </c>
      <c r="E17" s="182" t="n"/>
      <c r="F17" s="107" t="n"/>
      <c r="G17" s="107" t="n"/>
      <c r="H17" s="107" t="n"/>
      <c r="I17" s="107" t="n"/>
      <c r="J17" s="107" t="n"/>
      <c r="K17" s="107" t="n"/>
      <c r="L17" s="107" t="n"/>
      <c r="M17" s="107" t="n"/>
      <c r="N17" s="107" t="n"/>
    </row>
    <row r="18">
      <c r="B18" s="107" t="n"/>
      <c r="C18" s="107" t="n"/>
      <c r="D18" s="107" t="n"/>
      <c r="E18" s="107" t="n"/>
      <c r="F18" s="107" t="n"/>
      <c r="G18" s="107" t="n"/>
      <c r="H18" s="107" t="n"/>
      <c r="I18" s="107" t="n"/>
      <c r="J18" s="107" t="n"/>
      <c r="K18" s="107" t="n"/>
      <c r="L18" s="107" t="n"/>
      <c r="M18" s="107" t="n"/>
      <c r="N18" s="107" t="n"/>
    </row>
    <row r="19">
      <c r="B19" s="109" t="inlineStr">
        <is>
          <t>Egreso de obra programado por mes (suma de SUBTOTAL EGRESOS DE OBRA, fila 65 del flujo)</t>
        </is>
      </c>
      <c r="C19" s="107" t="n"/>
      <c r="D19" s="107" t="n"/>
      <c r="E19" s="107" t="n"/>
      <c r="F19" s="183">
        <f>SUM('FLUJO SEMANAL (2)'!D66:F66)</f>
        <v/>
      </c>
      <c r="G19" s="183">
        <f>SUM('FLUJO SEMANAL (2)'!G66:J66)</f>
        <v/>
      </c>
      <c r="H19" s="183">
        <f>SUM('FLUJO SEMANAL (2)'!K66:O66)</f>
        <v/>
      </c>
      <c r="I19" s="183">
        <f>SUM('FLUJO SEMANAL (2)'!P66:S66)</f>
        <v/>
      </c>
      <c r="J19" s="183">
        <f>SUM('FLUJO SEMANAL (2)'!T66:W66)</f>
        <v/>
      </c>
      <c r="K19" s="183">
        <f>SUM('FLUJO SEMANAL (2)'!X66:AA66)</f>
        <v/>
      </c>
      <c r="L19" s="183">
        <f>SUM('FLUJO SEMANAL (2)'!AB66:AE66)</f>
        <v/>
      </c>
      <c r="M19" s="183">
        <f>SUM('FLUJO SEMANAL (2)'!AF66:AI66)</f>
        <v/>
      </c>
      <c r="N19" s="107" t="n"/>
    </row>
    <row r="20">
      <c r="B20" s="109" t="inlineStr">
        <is>
          <t>Saldo final de caja al cierre de cada mes (fila 69 del flujo)</t>
        </is>
      </c>
      <c r="C20" s="107" t="n"/>
      <c r="D20" s="107" t="n"/>
      <c r="E20" s="107" t="n"/>
      <c r="F20" s="183">
        <f>'FLUJO SEMANAL (2)'!F70</f>
        <v/>
      </c>
      <c r="G20" s="183">
        <f>'FLUJO SEMANAL (2)'!J70</f>
        <v/>
      </c>
      <c r="H20" s="183">
        <f>'FLUJO SEMANAL (2)'!O70</f>
        <v/>
      </c>
      <c r="I20" s="183">
        <f>'FLUJO SEMANAL (2)'!S70</f>
        <v/>
      </c>
      <c r="J20" s="183">
        <f>'FLUJO SEMANAL (2)'!W70</f>
        <v/>
      </c>
      <c r="K20" s="183">
        <f>'FLUJO SEMANAL (2)'!AA70</f>
        <v/>
      </c>
      <c r="L20" s="183">
        <f>'FLUJO SEMANAL (2)'!AE70</f>
        <v/>
      </c>
      <c r="M20" s="183">
        <f>'FLUJO SEMANAL (2)'!AI70</f>
        <v/>
      </c>
      <c r="N20" s="107" t="n"/>
    </row>
    <row r="21">
      <c r="B21" s="109" t="inlineStr">
        <is>
          <t>Aportes de Agroaéreo programados en el mes (fila 9 del flujo)</t>
        </is>
      </c>
      <c r="C21" s="107" t="n"/>
      <c r="D21" s="107" t="n"/>
      <c r="E21" s="107" t="n"/>
      <c r="F21" s="183">
        <f>SUM('FLUJO SEMANAL (2)'!D9:F9)</f>
        <v/>
      </c>
      <c r="G21" s="183">
        <f>SUM('FLUJO SEMANAL (2)'!G9:J9)</f>
        <v/>
      </c>
      <c r="H21" s="183">
        <f>SUM('FLUJO SEMANAL (2)'!K9:O9)</f>
        <v/>
      </c>
      <c r="I21" s="183">
        <f>SUM('FLUJO SEMANAL (2)'!P9:S9)</f>
        <v/>
      </c>
      <c r="J21" s="183">
        <f>SUM('FLUJO SEMANAL (2)'!T9:W9)</f>
        <v/>
      </c>
      <c r="K21" s="183">
        <f>SUM('FLUJO SEMANAL (2)'!X9:AA9)</f>
        <v/>
      </c>
      <c r="L21" s="183">
        <f>SUM('FLUJO SEMANAL (2)'!AB9:AE9)</f>
        <v/>
      </c>
      <c r="M21" s="183">
        <f>SUM('FLUJO SEMANAL (2)'!AF9:AI9)</f>
        <v/>
      </c>
      <c r="N21" s="107" t="n"/>
    </row>
    <row r="22">
      <c r="B22" s="109" t="inlineStr">
        <is>
          <t>Ingreso operativo + otros ingresos del mes (filas 8 y 10 del flujo)</t>
        </is>
      </c>
      <c r="C22" s="107" t="n"/>
      <c r="D22" s="107" t="n"/>
      <c r="E22" s="107" t="n"/>
      <c r="F22" s="183">
        <f>SUM('FLUJO SEMANAL (2)'!D8:F8)+SUM('FLUJO SEMANAL (2)'!D10:F10)</f>
        <v/>
      </c>
      <c r="G22" s="183">
        <f>SUM('FLUJO SEMANAL (2)'!G8:J8)+SUM('FLUJO SEMANAL (2)'!G10:J10)</f>
        <v/>
      </c>
      <c r="H22" s="183">
        <f>SUM('FLUJO SEMANAL (2)'!K8:O8)+SUM('FLUJO SEMANAL (2)'!K10:O10)</f>
        <v/>
      </c>
      <c r="I22" s="183">
        <f>SUM('FLUJO SEMANAL (2)'!P8:S8)+SUM('FLUJO SEMANAL (2)'!P10:S10)</f>
        <v/>
      </c>
      <c r="J22" s="183">
        <f>SUM('FLUJO SEMANAL (2)'!T8:W8)+SUM('FLUJO SEMANAL (2)'!T10:W10)</f>
        <v/>
      </c>
      <c r="K22" s="183">
        <f>SUM('FLUJO SEMANAL (2)'!X8:AA8)+SUM('FLUJO SEMANAL (2)'!X10:AA10)</f>
        <v/>
      </c>
      <c r="L22" s="183">
        <f>SUM('FLUJO SEMANAL (2)'!AB8:AE8)+SUM('FLUJO SEMANAL (2)'!AB10:AE10)</f>
        <v/>
      </c>
      <c r="M22" s="183">
        <f>SUM('FLUJO SEMANAL (2)'!AF8:AI8)+SUM('FLUJO SEMANAL (2)'!AF10:AI10)</f>
        <v/>
      </c>
      <c r="N22" s="107" t="n"/>
    </row>
  </sheetData>
  <mergeCells count="10">
    <mergeCell ref="F9:J9"/>
    <mergeCell ref="F6:H6"/>
    <mergeCell ref="B3:M3"/>
    <mergeCell ref="K13:M13"/>
    <mergeCell ref="H10:I10"/>
    <mergeCell ref="H11:K11"/>
    <mergeCell ref="F8:H8"/>
    <mergeCell ref="F14:M14"/>
    <mergeCell ref="F7:H7"/>
    <mergeCell ref="K12:M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B3:AD6"/>
  <sheetViews>
    <sheetView showGridLines="0" workbookViewId="0">
      <selection activeCell="N21" sqref="N21"/>
    </sheetView>
  </sheetViews>
  <sheetFormatPr baseColWidth="10" defaultRowHeight="14.4"/>
  <cols>
    <col width="25.88671875" bestFit="1" customWidth="1" style="134" min="2" max="2"/>
    <col width="14.33203125" bestFit="1" customWidth="1" style="134" min="3" max="5"/>
    <col width="14.109375" bestFit="1" customWidth="1" style="134" min="6" max="6"/>
    <col width="13.88671875" bestFit="1" customWidth="1" style="134" min="7" max="9"/>
    <col width="14.44140625" bestFit="1" customWidth="1" style="134" min="10" max="10"/>
    <col width="15" bestFit="1" customWidth="1" style="134" min="11" max="12"/>
  </cols>
  <sheetData>
    <row r="3">
      <c r="B3" s="76">
        <f>+'FLUJO SEMANAL (2)'!A4</f>
        <v/>
      </c>
      <c r="C3" s="78">
        <f>+'FLUJO SEMANAL (2)'!H5</f>
        <v/>
      </c>
      <c r="D3" s="78">
        <f>+'FLUJO SEMANAL (2)'!I5</f>
        <v/>
      </c>
      <c r="E3" s="78">
        <f>+'FLUJO SEMANAL (2)'!J5</f>
        <v/>
      </c>
      <c r="F3" s="78">
        <f>+'FLUJO SEMANAL (2)'!K5</f>
        <v/>
      </c>
      <c r="G3" s="78">
        <f>+'FLUJO SEMANAL (2)'!L5</f>
        <v/>
      </c>
      <c r="H3" s="78">
        <f>+'FLUJO SEMANAL (2)'!M5</f>
        <v/>
      </c>
      <c r="I3" s="78">
        <f>+'FLUJO SEMANAL (2)'!N5</f>
        <v/>
      </c>
      <c r="J3" s="78">
        <f>+'FLUJO SEMANAL (2)'!O5</f>
        <v/>
      </c>
      <c r="K3" s="78">
        <f>+'FLUJO SEMANAL (2)'!P5</f>
        <v/>
      </c>
      <c r="L3" s="78">
        <f>+'FLUJO SEMANAL (2)'!Q5</f>
        <v/>
      </c>
      <c r="M3" s="78">
        <f>+'FLUJO SEMANAL (2)'!R5</f>
        <v/>
      </c>
      <c r="N3" s="78">
        <f>+'FLUJO SEMANAL (2)'!S5</f>
        <v/>
      </c>
      <c r="O3" s="78">
        <f>+'FLUJO SEMANAL (2)'!T5</f>
        <v/>
      </c>
      <c r="P3" s="78">
        <f>+'FLUJO SEMANAL (2)'!U5</f>
        <v/>
      </c>
      <c r="Q3" s="78">
        <f>+'FLUJO SEMANAL (2)'!V5</f>
        <v/>
      </c>
      <c r="R3" s="78">
        <f>+'FLUJO SEMANAL (2)'!W5</f>
        <v/>
      </c>
      <c r="S3" s="78">
        <f>+'FLUJO SEMANAL (2)'!X5</f>
        <v/>
      </c>
      <c r="T3" s="78">
        <f>+'FLUJO SEMANAL (2)'!Y5</f>
        <v/>
      </c>
      <c r="U3" s="78">
        <f>+'FLUJO SEMANAL (2)'!Z5</f>
        <v/>
      </c>
      <c r="V3" s="78">
        <f>+'FLUJO SEMANAL (2)'!AA5</f>
        <v/>
      </c>
      <c r="W3" s="78">
        <f>+'FLUJO SEMANAL (2)'!AB5</f>
        <v/>
      </c>
      <c r="X3" s="78">
        <f>+'FLUJO SEMANAL (2)'!AC5</f>
        <v/>
      </c>
      <c r="Y3" s="78">
        <f>+'FLUJO SEMANAL (2)'!AD5</f>
        <v/>
      </c>
      <c r="Z3" s="78">
        <f>+'FLUJO SEMANAL (2)'!AE5</f>
        <v/>
      </c>
      <c r="AA3" s="78">
        <f>+'FLUJO SEMANAL (2)'!AF5</f>
        <v/>
      </c>
      <c r="AB3" s="78">
        <f>+'FLUJO SEMANAL (2)'!AG5</f>
        <v/>
      </c>
      <c r="AC3" s="78">
        <f>+'FLUJO SEMANAL (2)'!AH5</f>
        <v/>
      </c>
      <c r="AD3" s="78">
        <f>+'FLUJO SEMANAL (2)'!AI5</f>
        <v/>
      </c>
    </row>
    <row r="4">
      <c r="B4" s="76">
        <f>+'FLUJO SEMANAL (2)'!A11</f>
        <v/>
      </c>
      <c r="C4" s="62">
        <f>+'FLUJO SEMANAL (2)'!H11</f>
        <v/>
      </c>
      <c r="D4" s="62">
        <f>+'FLUJO SEMANAL (2)'!I11</f>
        <v/>
      </c>
      <c r="E4" s="62">
        <f>+'FLUJO SEMANAL (2)'!J11</f>
        <v/>
      </c>
      <c r="F4" s="62">
        <f>+'FLUJO SEMANAL (2)'!K11</f>
        <v/>
      </c>
      <c r="G4" s="62">
        <f>+'FLUJO SEMANAL (2)'!L11</f>
        <v/>
      </c>
      <c r="H4" s="62">
        <f>+'FLUJO SEMANAL (2)'!M11</f>
        <v/>
      </c>
      <c r="I4" s="62">
        <f>+'FLUJO SEMANAL (2)'!N11</f>
        <v/>
      </c>
      <c r="J4" s="62">
        <f>+'FLUJO SEMANAL (2)'!O11</f>
        <v/>
      </c>
      <c r="K4" s="62">
        <f>+'FLUJO SEMANAL (2)'!P11</f>
        <v/>
      </c>
      <c r="L4" s="62">
        <f>+'FLUJO SEMANAL (2)'!Q11</f>
        <v/>
      </c>
      <c r="M4" s="62">
        <f>+'FLUJO SEMANAL (2)'!R11</f>
        <v/>
      </c>
      <c r="N4" s="62">
        <f>+'FLUJO SEMANAL (2)'!S11</f>
        <v/>
      </c>
      <c r="O4" s="62">
        <f>+'FLUJO SEMANAL (2)'!T11</f>
        <v/>
      </c>
      <c r="P4" s="62">
        <f>+'FLUJO SEMANAL (2)'!U11</f>
        <v/>
      </c>
      <c r="Q4" s="62">
        <f>+'FLUJO SEMANAL (2)'!V11</f>
        <v/>
      </c>
      <c r="R4" s="62">
        <f>+'FLUJO SEMANAL (2)'!W11</f>
        <v/>
      </c>
      <c r="S4" s="62">
        <f>+'FLUJO SEMANAL (2)'!X11</f>
        <v/>
      </c>
      <c r="T4" s="62">
        <f>+'FLUJO SEMANAL (2)'!Y11</f>
        <v/>
      </c>
      <c r="U4" s="62">
        <f>+'FLUJO SEMANAL (2)'!Z11</f>
        <v/>
      </c>
      <c r="V4" s="62">
        <f>+'FLUJO SEMANAL (2)'!AA11</f>
        <v/>
      </c>
      <c r="W4" s="62">
        <f>+'FLUJO SEMANAL (2)'!AB11</f>
        <v/>
      </c>
      <c r="X4" s="62">
        <f>+'FLUJO SEMANAL (2)'!AC11</f>
        <v/>
      </c>
      <c r="Y4" s="62">
        <f>+'FLUJO SEMANAL (2)'!AD11</f>
        <v/>
      </c>
      <c r="Z4" s="62">
        <f>+'FLUJO SEMANAL (2)'!AE11</f>
        <v/>
      </c>
      <c r="AA4" s="62">
        <f>+'FLUJO SEMANAL (2)'!AF11</f>
        <v/>
      </c>
      <c r="AB4" s="62">
        <f>+'FLUJO SEMANAL (2)'!AG11</f>
        <v/>
      </c>
      <c r="AC4" s="62">
        <f>+'FLUJO SEMANAL (2)'!AH11</f>
        <v/>
      </c>
      <c r="AD4" s="62">
        <f>+'FLUJO SEMANAL (2)'!AI11</f>
        <v/>
      </c>
    </row>
    <row r="5">
      <c r="B5" s="76">
        <f>+'FLUJO SEMANAL (2)'!A68</f>
        <v/>
      </c>
      <c r="C5" s="62">
        <f>+'FLUJO SEMANAL (2)'!H68</f>
        <v/>
      </c>
      <c r="D5" s="62">
        <f>+'FLUJO SEMANAL (2)'!I68</f>
        <v/>
      </c>
      <c r="E5" s="62">
        <f>+'FLUJO SEMANAL (2)'!J68</f>
        <v/>
      </c>
      <c r="F5" s="62">
        <f>+'FLUJO SEMANAL (2)'!K68</f>
        <v/>
      </c>
      <c r="G5" s="62">
        <f>+'FLUJO SEMANAL (2)'!L68</f>
        <v/>
      </c>
      <c r="H5" s="62">
        <f>+'FLUJO SEMANAL (2)'!M68</f>
        <v/>
      </c>
      <c r="I5" s="62">
        <f>+'FLUJO SEMANAL (2)'!N68</f>
        <v/>
      </c>
      <c r="J5" s="62">
        <f>+'FLUJO SEMANAL (2)'!O68</f>
        <v/>
      </c>
      <c r="K5" s="62">
        <f>+'FLUJO SEMANAL (2)'!P68</f>
        <v/>
      </c>
      <c r="L5" s="62">
        <f>+'FLUJO SEMANAL (2)'!Q68</f>
        <v/>
      </c>
      <c r="M5" s="62">
        <f>+'FLUJO SEMANAL (2)'!R68</f>
        <v/>
      </c>
      <c r="N5" s="62">
        <f>+'FLUJO SEMANAL (2)'!S68</f>
        <v/>
      </c>
      <c r="O5" s="62">
        <f>+'FLUJO SEMANAL (2)'!T68</f>
        <v/>
      </c>
      <c r="P5" s="62">
        <f>+'FLUJO SEMANAL (2)'!U68</f>
        <v/>
      </c>
      <c r="Q5" s="62">
        <f>+'FLUJO SEMANAL (2)'!V68</f>
        <v/>
      </c>
      <c r="R5" s="62">
        <f>+'FLUJO SEMANAL (2)'!W68</f>
        <v/>
      </c>
      <c r="S5" s="62">
        <f>+'FLUJO SEMANAL (2)'!X68</f>
        <v/>
      </c>
      <c r="T5" s="62">
        <f>+'FLUJO SEMANAL (2)'!Y68</f>
        <v/>
      </c>
      <c r="U5" s="62">
        <f>+'FLUJO SEMANAL (2)'!Z68</f>
        <v/>
      </c>
      <c r="V5" s="62">
        <f>+'FLUJO SEMANAL (2)'!AA68</f>
        <v/>
      </c>
      <c r="W5" s="62">
        <f>+'FLUJO SEMANAL (2)'!AB68</f>
        <v/>
      </c>
      <c r="X5" s="62">
        <f>+'FLUJO SEMANAL (2)'!AC68</f>
        <v/>
      </c>
      <c r="Y5" s="62">
        <f>+'FLUJO SEMANAL (2)'!AD68</f>
        <v/>
      </c>
      <c r="Z5" s="62">
        <f>+'FLUJO SEMANAL (2)'!AE68</f>
        <v/>
      </c>
      <c r="AA5" s="62">
        <f>+'FLUJO SEMANAL (2)'!AF68</f>
        <v/>
      </c>
      <c r="AB5" s="62">
        <f>+'FLUJO SEMANAL (2)'!AG68</f>
        <v/>
      </c>
      <c r="AC5" s="62">
        <f>+'FLUJO SEMANAL (2)'!AH68</f>
        <v/>
      </c>
      <c r="AD5" s="62">
        <f>+'FLUJO SEMANAL (2)'!AI68</f>
        <v/>
      </c>
    </row>
    <row r="6">
      <c r="B6" s="76">
        <f>+'FLUJO SEMANAL (2)'!A70</f>
        <v/>
      </c>
      <c r="C6" s="62">
        <f>+'FLUJO SEMANAL (2)'!H70</f>
        <v/>
      </c>
      <c r="D6" s="62">
        <f>+'FLUJO SEMANAL (2)'!I70</f>
        <v/>
      </c>
      <c r="E6" s="62">
        <f>+'FLUJO SEMANAL (2)'!J70</f>
        <v/>
      </c>
      <c r="F6" s="62">
        <f>+'FLUJO SEMANAL (2)'!K70</f>
        <v/>
      </c>
      <c r="G6" s="62">
        <f>+'FLUJO SEMANAL (2)'!L70</f>
        <v/>
      </c>
      <c r="H6" s="62">
        <f>+'FLUJO SEMANAL (2)'!M70</f>
        <v/>
      </c>
      <c r="I6" s="62">
        <f>+'FLUJO SEMANAL (2)'!N70</f>
        <v/>
      </c>
      <c r="J6" s="62">
        <f>+'FLUJO SEMANAL (2)'!O70</f>
        <v/>
      </c>
      <c r="K6" s="62">
        <f>+'FLUJO SEMANAL (2)'!P70</f>
        <v/>
      </c>
      <c r="L6" s="62">
        <f>+'FLUJO SEMANAL (2)'!Q70</f>
        <v/>
      </c>
      <c r="M6" s="62">
        <f>+'FLUJO SEMANAL (2)'!R70</f>
        <v/>
      </c>
      <c r="N6" s="62">
        <f>+'FLUJO SEMANAL (2)'!S70</f>
        <v/>
      </c>
      <c r="O6" s="62">
        <f>+'FLUJO SEMANAL (2)'!T70</f>
        <v/>
      </c>
      <c r="P6" s="62">
        <f>+'FLUJO SEMANAL (2)'!U70</f>
        <v/>
      </c>
      <c r="Q6" s="62">
        <f>+'FLUJO SEMANAL (2)'!V70</f>
        <v/>
      </c>
      <c r="R6" s="62">
        <f>+'FLUJO SEMANAL (2)'!W70</f>
        <v/>
      </c>
      <c r="S6" s="62">
        <f>+'FLUJO SEMANAL (2)'!X70</f>
        <v/>
      </c>
      <c r="T6" s="62">
        <f>+'FLUJO SEMANAL (2)'!Y70</f>
        <v/>
      </c>
      <c r="U6" s="62">
        <f>+'FLUJO SEMANAL (2)'!Z70</f>
        <v/>
      </c>
      <c r="V6" s="62">
        <f>+'FLUJO SEMANAL (2)'!AA70</f>
        <v/>
      </c>
      <c r="W6" s="62">
        <f>+'FLUJO SEMANAL (2)'!AB70</f>
        <v/>
      </c>
      <c r="X6" s="62">
        <f>+'FLUJO SEMANAL (2)'!AC70</f>
        <v/>
      </c>
      <c r="Y6" s="62">
        <f>+'FLUJO SEMANAL (2)'!AD70</f>
        <v/>
      </c>
      <c r="Z6" s="62">
        <f>+'FLUJO SEMANAL (2)'!AE70</f>
        <v/>
      </c>
      <c r="AA6" s="62">
        <f>+'FLUJO SEMANAL (2)'!AF70</f>
        <v/>
      </c>
      <c r="AB6" s="62">
        <f>+'FLUJO SEMANAL (2)'!AG70</f>
        <v/>
      </c>
      <c r="AC6" s="62">
        <f>+'FLUJO SEMANAL (2)'!AH70</f>
        <v/>
      </c>
      <c r="AD6" s="62">
        <f>+'FLUJO SEMANAL (2)'!AI70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2026-09-08T02:59:47Z</dcterms:created>
  <dcterms:modified xsi:type="dcterms:W3CDTF">2026-09-26T06:04:47Z</dcterms:modified>
  <cp:lastModifiedBy>USUARIO</cp:lastModifiedBy>
</cp:coreProperties>
</file>